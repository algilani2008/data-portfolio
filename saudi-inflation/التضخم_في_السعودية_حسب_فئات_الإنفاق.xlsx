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نظرة عامة" sheetId="1" state="visible" r:id="rId3"/>
    <sheet name="فئات الإنفاق" sheetId="2" state="visible" r:id="rId4"/>
    <sheet name="الاتجاه الشهري" sheetId="3" state="visible" r:id="rId5"/>
    <sheet name="حاسبة أثر التضخم" sheetId="4" state="visible" r:id="rId6"/>
    <sheet name="المصدر والملاحظات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<sst xmlns="http://schemas.openxmlformats.org/spreadsheetml/2006/main" count="108" uniqueCount="106">
  <si>
    <t xml:space="preserve">التضخم في السعودية حسب فئات الإنفاق</t>
  </si>
  <si>
    <t xml:space="preserve">بيانات الهيئة العامة للإحصاء والبنك المركزي السعودي</t>
  </si>
  <si>
    <t xml:space="preserve">التضخم السنوي - الربع الأول 2026</t>
  </si>
  <si>
    <t xml:space="preserve">التضخم السنوي - يونيو 2026</t>
  </si>
  <si>
    <t xml:space="preserve">التضخم خلال 2025</t>
  </si>
  <si>
    <t xml:space="preserve">أعلى فئة تضخماً</t>
  </si>
  <si>
    <t xml:space="preserve">أكبر مساهم في التضخم</t>
  </si>
  <si>
    <t xml:space="preserve">الفئات التي تضخمها أعلى من التضخم العام (الربع الأول 2026)</t>
  </si>
  <si>
    <t xml:space="preserve">فئة الإنفاق</t>
  </si>
  <si>
    <t xml:space="preserve">الوزن</t>
  </si>
  <si>
    <t xml:space="preserve">التغير السنوي</t>
  </si>
  <si>
    <t xml:space="preserve">المساهمة (نقطة)</t>
  </si>
  <si>
    <t xml:space="preserve">أعلى من العام؟</t>
  </si>
  <si>
    <t xml:space="preserve">الرقم القياسي لأسعار المستهلك حسب فئات الإنفاق - الربع الأول 2026</t>
  </si>
  <si>
    <t xml:space="preserve">المصدر: البنك المركزي السعودي (ساما)، تقرير التضخم للربع الأول 2026، الجدول 2، استناداً إلى بيانات الهيئة العامة للإحصاء (سنة الأساس 2023 = 100).</t>
  </si>
  <si>
    <t xml:space="preserve">الرمز</t>
  </si>
  <si>
    <t xml:space="preserve">الوزن %</t>
  </si>
  <si>
    <t xml:space="preserve">الرقم القياسي ر1 2025</t>
  </si>
  <si>
    <t xml:space="preserve">الرقم القياسي ر4 2025</t>
  </si>
  <si>
    <t xml:space="preserve">الرقم القياسي ر1 2026</t>
  </si>
  <si>
    <t xml:space="preserve">التغير السنوي %</t>
  </si>
  <si>
    <t xml:space="preserve">التغير الربعي %</t>
  </si>
  <si>
    <t xml:space="preserve">المساهمة في التضخم السنوي (نقطة)</t>
  </si>
  <si>
    <t xml:space="preserve">الحصة من التضخم %</t>
  </si>
  <si>
    <t xml:space="preserve">التغير خلال 2025 %</t>
  </si>
  <si>
    <t xml:space="preserve">01</t>
  </si>
  <si>
    <t xml:space="preserve">الأغذية والمشروبات</t>
  </si>
  <si>
    <t xml:space="preserve">02</t>
  </si>
  <si>
    <t xml:space="preserve">التبغ</t>
  </si>
  <si>
    <t xml:space="preserve">03</t>
  </si>
  <si>
    <t xml:space="preserve">الملابس والأحذية</t>
  </si>
  <si>
    <t xml:space="preserve">04</t>
  </si>
  <si>
    <t xml:space="preserve">السكن والمياه والكهرباء والغاز</t>
  </si>
  <si>
    <t xml:space="preserve">05</t>
  </si>
  <si>
    <t xml:space="preserve">التأثيث والتجهيزات المنزلية</t>
  </si>
  <si>
    <t xml:space="preserve">06</t>
  </si>
  <si>
    <t xml:space="preserve">الصحة</t>
  </si>
  <si>
    <t xml:space="preserve">07</t>
  </si>
  <si>
    <t xml:space="preserve">النقل</t>
  </si>
  <si>
    <t xml:space="preserve">08</t>
  </si>
  <si>
    <t xml:space="preserve">المعلومات والاتصالات</t>
  </si>
  <si>
    <t xml:space="preserve">09</t>
  </si>
  <si>
    <t xml:space="preserve">الترفيه والرياضة والثقافة</t>
  </si>
  <si>
    <t xml:space="preserve">10</t>
  </si>
  <si>
    <t xml:space="preserve">التعليم</t>
  </si>
  <si>
    <t xml:space="preserve">11</t>
  </si>
  <si>
    <t xml:space="preserve">المطاعم وخدمات الإقامة</t>
  </si>
  <si>
    <t xml:space="preserve">12</t>
  </si>
  <si>
    <t xml:space="preserve">التأمين والخدمات المالية</t>
  </si>
  <si>
    <t xml:space="preserve">13</t>
  </si>
  <si>
    <t xml:space="preserve">العناية الشخصية والحماية الاجتماعية وسلع متنوعة</t>
  </si>
  <si>
    <t xml:space="preserve">00</t>
  </si>
  <si>
    <t xml:space="preserve">الرقم القياسي العام (المنشور)</t>
  </si>
  <si>
    <t xml:space="preserve">الأرقام الزرقاء من المصدر، والسوداء معادلات. المساهمة تقريبية: الوزن × تغير الرقم القياسي للفئة ÷ الرقم العام قبل سنة.</t>
  </si>
  <si>
    <t xml:space="preserve">التضخم الشهري والسنوي للرقم القياسي العام</t>
  </si>
  <si>
    <t xml:space="preserve">المصدر: الهيئة العامة للإحصاء، نشرة الرقم القياسي لأسعار المستهلك، يونيو 2026.</t>
  </si>
  <si>
    <t xml:space="preserve">الشهر</t>
  </si>
  <si>
    <t xml:space="preserve">التغير الشهري %</t>
  </si>
  <si>
    <t xml:space="preserve">التغير السنوي % (المنشور)</t>
  </si>
  <si>
    <t xml:space="preserve">تراكم آخر 12 شهراً % (محسوب)</t>
  </si>
  <si>
    <t xml:space="preserve">الفرق (نقطة)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</si>
  <si>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</si>
  <si>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</si>
  <si>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</si>
  <si>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</si>
  <si>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</si>
  <si>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</si>
  <si>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</si>
  <si>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</si>
  <si>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</si>
  <si>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</si>
  <si>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</si>
  <si>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</si>
  <si>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</si>
  <si>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</si>
  <si>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</si>
  <si>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</si>
  <si>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</si>
  <si>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</si>
  <si>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العمود المحسوب يجمع التغيرات الشهرية لآخر 12 شهراً بالتراكم، ويطابق التغير السنوي المنشور ضمن فرق التقريب (الأرقام الشهرية مقربة لمنزلة عشرية واحدة).</t>
  </si>
  <si>
    <t xml:space="preserve">حاسبة أثر التضخم على ميزانية الأسرة</t>
  </si>
  <si>
    <t xml:space="preserve">أدخل إنفاقك الشهري في كل فئة (الخلايا الصفراء)، وتحسب الحاسبة الزيادة المتوقعة في التكلفة إذا استمرت معدلات التضخم السنوية الحالية.</t>
  </si>
  <si>
    <t xml:space="preserve">إجمالي الإنفاق الشهري (لتوزيع افتراضي)</t>
  </si>
  <si>
    <t xml:space="preserve">← غيّره، أو اكتب مبالغك الفعلية مباشرة في العمود C بالأسفل</t>
  </si>
  <si>
    <t xml:space="preserve">الإنفاق الشهري (ريال)</t>
  </si>
  <si>
    <t xml:space="preserve">التضخم السنوي للفئة</t>
  </si>
  <si>
    <t xml:space="preserve">التكلفة الشهرية بعد سنة</t>
  </si>
  <si>
    <t xml:space="preserve">الزيادة الشهرية (ريال)</t>
  </si>
  <si>
    <t xml:space="preserve">الزيادة السنوية (ريال)</t>
  </si>
  <si>
    <t xml:space="preserve">الإجمالي</t>
  </si>
  <si>
    <t xml:space="preserve">التضخم الشخصي لأسرتك = الإجمالي في عمود «التضخم السنوي». يختلف عن التضخم العام حسب نمط إنفاقك.</t>
  </si>
  <si>
    <t xml:space="preserve">المصدر والملاحظات المنهجية</t>
  </si>
  <si>
    <t xml:space="preserve">فئات الإنفاق</t>
  </si>
  <si>
    <t xml:space="preserve">البنك المركزي السعودي (ساما)، تقرير التضخم للربع الأول 2026، الجدول 2 (الرقم القياسي لأسعار المستهلك، 2023 = 100)، استناداً إلى الهيئة العامة للإحصاء:</t>
  </si>
  <si>
    <t xml:space="preserve">https://www.sama.gov.sa/en-US/Publications/EconomicReports/InflationReports/Inflation_Q1_2026-En.pdf</t>
  </si>
  <si>
    <t xml:space="preserve">الاتجاه الشهري</t>
  </si>
  <si>
    <t xml:space="preserve">الهيئة العامة للإحصاء، نشرة الرقم القياسي لأسعار المستهلك لشهر يونيو 2026:</t>
  </si>
  <si>
    <t xml:space="preserve">https://www.stats.gov.sa/documents/20117/2435267/CPI+Jun+2026-EN+(1).pdf/06a48d85-4368-1e92-dfcb-8a092010e724?t=1783941888045</t>
  </si>
  <si>
    <t xml:space="preserve">السلة</t>
  </si>
  <si>
    <t xml:space="preserve">582 سلعة وخدمة، والأوزان مأخوذة من مسح دخل وإنفاق الأسرة 2023.</t>
  </si>
  <si>
    <t xml:space="preserve">التحقق</t>
  </si>
  <si>
    <t xml:space="preserve">مجموع أوزان الفئات = 100%. التغيرات السنوية والربعية المنشورة تطابق المحسوبة من الأرقام القياسية لكل فئة. تراكم التغيرات الشهرية لآخر 12 شهراً يطابق التغير السنوي المنشور ضمن فرق التقريب.</t>
  </si>
  <si>
    <t xml:space="preserve">المساهمة في التضخم</t>
  </si>
  <si>
    <t xml:space="preserve">تقريبية: الوزن × (الرقم القياسي للفئة الآن - قبل سنة) ÷ الرقم العام قبل سنة. المتوسط المرجح للفئات بالأوزان المنشورة أعلى من الرقم العام المنشور بنحو 0.4 نقطة، غالباً لتحديث الأوزان بالأسعار، لذلك مجموع المساهمات لا يساوي التضخم العام تماماً.</t>
  </si>
  <si>
    <t xml:space="preserve">حاسبة أثر التضخم</t>
  </si>
  <si>
    <t xml:space="preserve">تفترض استمرار معدل التضخم السنوي لكل فئة كما هو في الربع الأول 2026. التوزيع الافتراضي للإنفاق يستخدم أوزان السلة الرسمية.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</si>
</sst>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@"/>
    <numFmt numFmtId="167" formatCode="0.00"/>
    <numFmt numFmtId="168" formatCode="0.0"/>
    <numFmt numFmtId="169" formatCode="0.00%"/>
    <numFmt numFmtId="170" formatCode="\+0.00;\-0.00;0.00"/>
    <numFmt numFmtId="171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التغير السنوي حسب فئة الإنفاق (الربع الأول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'فئات الإنفاق'!G4</c:f>
              <c:strCache>
                <c:ptCount val="1"/>
                <c:pt idx="0">
                  <c:v>التغير السنوي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'فئات الإنفاق'!$B$5:$B$17</c:f>
              <c:strCache>
                <c:ptCount val="13"/>
                <c:pt idx="0">
                  <c:v>الأغذية والمشروبات</c:v>
                </c:pt>
                <c:pt idx="1">
                  <c:v>التبغ</c:v>
                </c:pt>
                <c:pt idx="2">
                  <c:v>الملابس والأحذية</c:v>
                </c:pt>
                <c:pt idx="3">
                  <c:v>السكن والمياه والكهرباء والغاز</c:v>
                </c:pt>
                <c:pt idx="4">
                  <c:v>التأثيث والتجهيزات المنزلية</c:v>
                </c:pt>
                <c:pt idx="5">
                  <c:v>الصحة</c:v>
                </c:pt>
                <c:pt idx="6">
                  <c:v>النقل</c:v>
                </c:pt>
                <c:pt idx="7">
                  <c:v>المعلومات والاتصالات</c:v>
                </c:pt>
                <c:pt idx="8">
                  <c:v>الترفيه والرياضة والثقافة</c:v>
                </c:pt>
                <c:pt idx="9">
                  <c:v>التعليم</c:v>
                </c:pt>
                <c:pt idx="10">
                  <c:v>المطاعم وخدمات الإقامة</c:v>
                </c:pt>
                <c:pt idx="11">
                  <c:v>التأمين والخدمات المالية</c:v>
                </c:pt>
                <c:pt idx="12">
                  <c:v>العناية الشخصية والحماية الاجتماعية وسلع متنوعة</c:v>
                </c:pt>
              </c:strCache>
            </c:strRef>
          </c:cat>
          <c:val>
            <c:numRef>
              <c:f>'فئات الإنفاق'!$G$5:$G$17</c:f>
              <c:numCache>
                <c:formatCode>0.0%</c:formatCode>
                <c:ptCount val="13"/>
                <c:pt idx="0">
                  <c:v>0.00197433366238897</c:v>
                </c:pt>
                <c:pt idx="1">
                  <c:v>0.00503524672708955</c:v>
                </c:pt>
                <c:pt idx="2">
                  <c:v>0.00103519668737073</c:v>
                </c:pt>
                <c:pt idx="3">
                  <c:v>0.0404312668463611</c:v>
                </c:pt>
                <c:pt idx="4">
                  <c:v>-0.00610997963340132</c:v>
                </c:pt>
                <c:pt idx="5">
                  <c:v>0.00200601805416256</c:v>
                </c:pt>
                <c:pt idx="6">
                  <c:v>0.0129999999999999</c:v>
                </c:pt>
                <c:pt idx="7">
                  <c:v>0.00718685831622157</c:v>
                </c:pt>
                <c:pt idx="8">
                  <c:v>0.0204878048780488</c:v>
                </c:pt>
                <c:pt idx="9">
                  <c:v>0.0148662041625371</c:v>
                </c:pt>
                <c:pt idx="10">
                  <c:v>0.0170454545454546</c:v>
                </c:pt>
                <c:pt idx="11">
                  <c:v>0.0212765957446808</c:v>
                </c:pt>
                <c:pt idx="12">
                  <c:v>0.0801526717557253</c:v>
                </c:pt>
              </c:numCache>
            </c:numRef>
          </c:val>
        </c:ser>
        <c:gapWidth val="150"/>
        <c:overlap val="0"/>
        <c:axId val="13613133"/>
        <c:axId val="23950627"/>
      </c:barChart>
      <c:catAx>
        <c:axId val="13613133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50627"/>
        <c:crosses val="autoZero"/>
        <c:auto val="1"/>
        <c:lblAlgn val="ctr"/>
        <c:lblOffset val="100"/>
        <c:noMultiLvlLbl val="0"/>
      </c:catAx>
      <c:valAx>
        <c:axId val="23950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131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المساهمة في التضخم السنوي (نقطة مئوية)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'فئات الإنفاق'!I4</c:f>
              <c:strCache>
                <c:ptCount val="1"/>
                <c:pt idx="0">
                  <c:v>المساهمة في التضخم السنوي (نقطة)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'فئات الإنفاق'!$B$5:$B$17</c:f>
              <c:strCache>
                <c:ptCount val="13"/>
                <c:pt idx="0">
                  <c:v>الأغذية والمشروبات</c:v>
                </c:pt>
                <c:pt idx="1">
                  <c:v>التبغ</c:v>
                </c:pt>
                <c:pt idx="2">
                  <c:v>الملابس والأحذية</c:v>
                </c:pt>
                <c:pt idx="3">
                  <c:v>السكن والمياه والكهرباء والغاز</c:v>
                </c:pt>
                <c:pt idx="4">
                  <c:v>التأثيث والتجهيزات المنزلية</c:v>
                </c:pt>
                <c:pt idx="5">
                  <c:v>الصحة</c:v>
                </c:pt>
                <c:pt idx="6">
                  <c:v>النقل</c:v>
                </c:pt>
                <c:pt idx="7">
                  <c:v>المعلومات والاتصالات</c:v>
                </c:pt>
                <c:pt idx="8">
                  <c:v>الترفيه والرياضة والثقافة</c:v>
                </c:pt>
                <c:pt idx="9">
                  <c:v>التعليم</c:v>
                </c:pt>
                <c:pt idx="10">
                  <c:v>المطاعم وخدمات الإقامة</c:v>
                </c:pt>
                <c:pt idx="11">
                  <c:v>التأمين والخدمات المالية</c:v>
                </c:pt>
                <c:pt idx="12">
                  <c:v>العناية الشخصية والحماية الاجتماعية وسلع متنوعة</c:v>
                </c:pt>
              </c:strCache>
            </c:strRef>
          </c:cat>
          <c:val>
            <c:numRef>
              <c:f>'فئات الإنفاق'!$I$5:$I$17</c:f>
              <c:numCache>
                <c:formatCode>0.00</c:formatCode>
                <c:ptCount val="13"/>
                <c:pt idx="0">
                  <c:v>0.0426070038910512</c:v>
                </c:pt>
                <c:pt idx="1">
                  <c:v>0.00340466926070039</c:v>
                </c:pt>
                <c:pt idx="2">
                  <c:v>0.00359922178988358</c:v>
                </c:pt>
                <c:pt idx="3">
                  <c:v>0.884241245136187</c:v>
                </c:pt>
                <c:pt idx="4">
                  <c:v>-0.0391050583657593</c:v>
                </c:pt>
                <c:pt idx="5">
                  <c:v>0.00778210116731529</c:v>
                </c:pt>
                <c:pt idx="6">
                  <c:v>0.183365758754863</c:v>
                </c:pt>
                <c:pt idx="7">
                  <c:v>0.0354085603112835</c:v>
                </c:pt>
                <c:pt idx="8">
                  <c:v>0.0653696498054473</c:v>
                </c:pt>
                <c:pt idx="9">
                  <c:v>0.0321011673151751</c:v>
                </c:pt>
                <c:pt idx="10">
                  <c:v>0.147081712062258</c:v>
                </c:pt>
                <c:pt idx="11">
                  <c:v>0.0684824902723732</c:v>
                </c:pt>
                <c:pt idx="12">
                  <c:v>0.498443579766537</c:v>
                </c:pt>
              </c:numCache>
            </c:numRef>
          </c:val>
        </c:ser>
        <c:gapWidth val="150"/>
        <c:overlap val="0"/>
        <c:axId val="67362055"/>
        <c:axId val="95215411"/>
      </c:barChart>
      <c:catAx>
        <c:axId val="67362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15411"/>
        <c:crosses val="autoZero"/>
        <c:auto val="1"/>
        <c:lblAlgn val="ctr"/>
        <c:lblOffset val="100"/>
        <c:noMultiLvlLbl val="0"/>
      </c:catAx>
      <c:valAx>
        <c:axId val="952154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620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التضخم السنوي (يونيو 2025 - يونيو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'الاتجاه الشهري'!$A$10:$A$22</c:f>
              <c:strCache>
                <c:ptCount val="13"/>
                <c:pt idx="0">
                  <c:v>2025-06</c:v>
                </c:pt>
                <c:pt idx="1">
                  <c:v>2025-07</c:v>
                </c:pt>
                <c:pt idx="2">
                  <c:v>2025-08</c:v>
                </c:pt>
                <c:pt idx="3">
                  <c:v>2025-09</c:v>
                </c:pt>
                <c:pt idx="4">
                  <c:v>2025-10</c:v>
                </c:pt>
                <c:pt idx="5">
                  <c:v>2025-11</c:v>
                </c:pt>
                <c:pt idx="6">
                  <c:v>2025-12</c:v>
                </c:pt>
                <c:pt idx="7">
                  <c:v>2026-01</c:v>
                </c:pt>
                <c:pt idx="8">
                  <c:v>2026-02</c:v>
                </c:pt>
                <c:pt idx="9">
                  <c:v>2026-03</c:v>
                </c:pt>
                <c:pt idx="10">
                  <c:v>2026-04</c:v>
                </c:pt>
                <c:pt idx="11">
                  <c:v>2026-05</c:v>
                </c:pt>
                <c:pt idx="12">
                  <c:v>2026-06</c:v>
                </c:pt>
              </c:strCache>
            </c:strRef>
          </c:cat>
          <c:val>
            <c:numRef>
              <c:f>'الاتجاه الشهري'!$C$10:$C$22</c:f>
              <c:numCache>
                <c:formatCode>0.0%</c:formatCode>
                <c:ptCount val="13"/>
                <c:pt idx="0">
                  <c:v>0.02</c:v>
                </c:pt>
                <c:pt idx="1">
                  <c:v>0.022</c:v>
                </c:pt>
                <c:pt idx="2">
                  <c:v>0.023</c:v>
                </c:pt>
                <c:pt idx="3">
                  <c:v>0.022</c:v>
                </c:pt>
                <c:pt idx="4">
                  <c:v>0.022</c:v>
                </c:pt>
                <c:pt idx="5">
                  <c:v>0.019</c:v>
                </c:pt>
                <c:pt idx="6">
                  <c:v>0.021</c:v>
                </c:pt>
                <c:pt idx="7">
                  <c:v>0.018</c:v>
                </c:pt>
                <c:pt idx="8">
                  <c:v>0.017</c:v>
                </c:pt>
                <c:pt idx="9">
                  <c:v>0.018</c:v>
                </c:pt>
                <c:pt idx="10">
                  <c:v>0.017</c:v>
                </c:pt>
                <c:pt idx="11">
                  <c:v>0.018</c:v>
                </c:pt>
                <c:pt idx="12">
                  <c:v>0.018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946129"/>
        <c:axId val="90432489"/>
      </c:lineChart>
      <c:catAx>
        <c:axId val="719461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32489"/>
        <c:crosses val="autoZero"/>
        <c:auto val="1"/>
        <c:lblAlgn val="ctr"/>
        <c:lblOffset val="100"/>
        <c:noMultiLvlLbl val="0"/>
      </c:catAx>
      <c:valAx>
        <c:axId val="90432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461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التغير الشهري (يناير 2025 - يونيو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'الاتجاه الشهري'!$A$5:$A$22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'الاتجاه الشهري'!$B$5:$B$22</c:f>
              <c:numCache>
                <c:formatCode>0.0%</c:formatCode>
                <c:ptCount val="18"/>
                <c:pt idx="0">
                  <c:v>0.004</c:v>
                </c:pt>
                <c:pt idx="1">
                  <c:v>0.001</c:v>
                </c:pt>
                <c:pt idx="2">
                  <c:v>0.002</c:v>
                </c:pt>
                <c:pt idx="3">
                  <c:v>0.004</c:v>
                </c:pt>
                <c:pt idx="4">
                  <c:v>0.001</c:v>
                </c:pt>
                <c:pt idx="5">
                  <c:v>0.002</c:v>
                </c:pt>
                <c:pt idx="6">
                  <c:v>0.001</c:v>
                </c:pt>
                <c:pt idx="7">
                  <c:v>0.001</c:v>
                </c:pt>
                <c:pt idx="8">
                  <c:v>-0.001</c:v>
                </c:pt>
                <c:pt idx="9">
                  <c:v>0.003</c:v>
                </c:pt>
                <c:pt idx="10">
                  <c:v>0.001</c:v>
                </c:pt>
                <c:pt idx="11">
                  <c:v>0.001</c:v>
                </c:pt>
                <c:pt idx="12">
                  <c:v>0.002</c:v>
                </c:pt>
                <c:pt idx="13">
                  <c:v>0</c:v>
                </c:pt>
                <c:pt idx="14">
                  <c:v>0.003</c:v>
                </c:pt>
                <c:pt idx="15">
                  <c:v>0.002</c:v>
                </c:pt>
                <c:pt idx="16">
                  <c:v>0.002</c:v>
                </c:pt>
                <c:pt idx="17">
                  <c:v>0.002</c:v>
                </c:pt>
              </c:numCache>
            </c:numRef>
          </c:val>
        </c:ser>
        <c:gapWidth val="150"/>
        <c:overlap val="0"/>
        <c:axId val="54834471"/>
        <c:axId val="12199792"/>
      </c:barChart>
      <c:catAx>
        <c:axId val="54834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99792"/>
        <c:crosses val="autoZero"/>
        <c:auto val="1"/>
        <c:lblAlgn val="ctr"/>
        <c:lblOffset val="100"/>
        <c:noMultiLvlLbl val="0"/>
      </c:catAx>
      <c:valAx>
        <c:axId val="12199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344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-433080</xdr:colOff>
      <xdr:row>20</xdr:row>
      <xdr:rowOff>144000</xdr:rowOff>
    </xdr:from>
    <xdr:to>
      <xdr:col>7</xdr:col>
      <xdr:colOff>0</xdr:colOff>
      <xdr:row>41</xdr:row>
      <xdr:rowOff>103320</xdr:rowOff>
    </xdr:to>
    <xdr:graphicFrame>
      <xdr:nvGraphicFramePr>
        <xdr:cNvPr id="0" name="Chart 1"/>
        <xdr:cNvGraphicFramePr/>
      </xdr:nvGraphicFramePr>
      <xdr:xfrm>
        <a:off x="-7693200" y="446724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-453960</xdr:colOff>
      <xdr:row>20</xdr:row>
      <xdr:rowOff>144000</xdr:rowOff>
    </xdr:from>
    <xdr:to>
      <xdr:col>15</xdr:col>
      <xdr:colOff>0</xdr:colOff>
      <xdr:row>41</xdr:row>
      <xdr:rowOff>103320</xdr:rowOff>
    </xdr:to>
    <xdr:graphicFrame>
      <xdr:nvGraphicFramePr>
        <xdr:cNvPr id="1" name="Chart 2"/>
        <xdr:cNvGraphicFramePr/>
      </xdr:nvGraphicFramePr>
      <xdr:xfrm>
        <a:off x="-13684320" y="446724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-364680</xdr:colOff>
      <xdr:row>2</xdr:row>
      <xdr:rowOff>131040</xdr:rowOff>
    </xdr:from>
    <xdr:to>
      <xdr:col>16</xdr:col>
      <xdr:colOff>0</xdr:colOff>
      <xdr:row>17</xdr:row>
      <xdr:rowOff>122760</xdr:rowOff>
    </xdr:to>
    <xdr:graphicFrame>
      <xdr:nvGraphicFramePr>
        <xdr:cNvPr id="2" name="Chart 1"/>
        <xdr:cNvGraphicFramePr/>
      </xdr:nvGraphicFramePr>
      <xdr:xfrm>
        <a:off x="-1216620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-364680</xdr:colOff>
      <xdr:row>22</xdr:row>
      <xdr:rowOff>131040</xdr:rowOff>
    </xdr:from>
    <xdr:to>
      <xdr:col>16</xdr:col>
      <xdr:colOff>0</xdr:colOff>
      <xdr:row>39</xdr:row>
      <xdr:rowOff>132120</xdr:rowOff>
    </xdr:to>
    <xdr:graphicFrame>
      <xdr:nvGraphicFramePr>
        <xdr:cNvPr id="3" name="Chart 2"/>
        <xdr:cNvGraphicFramePr/>
      </xdr:nvGraphicFramePr>
      <xdr:xfrm>
        <a:off x="-12166200" y="4772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sama.gov.sa/en-US/Publications/EconomicReports/InflationReports/Inflation_Q1_2026-En.pdf" TargetMode="External"/><Relationship Id="rId2" Type="http://schemas.openxmlformats.org/officeDocument/2006/relationships/hyperlink" Target="https://www.stats.gov.sa/documents/20117/2435267/CPI+Jun+2026-EN+(1).pdf/06a48d85-4368-1e92-dfcb-8a092010e724?t=178394188804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48" hidden="false" customHeight="true" outlineLevel="0" collapsed="false">
      <c r="A5" s="4" t="n">
        <f aca="false">'فئات الإنفاق'!G18</f>
        <v>0.0175097276264591</v>
      </c>
      <c r="B5" s="4" t="n">
        <f aca="false">'الاتجاه الشهري'!C22</f>
        <v>0.018</v>
      </c>
      <c r="C5" s="4" t="n">
        <f aca="false">'فئات الإنفاق'!K18</f>
        <v>0.02</v>
      </c>
      <c r="D5" s="5" t="str">
        <f aca="false">INDEX('فئات الإنفاق'!B5:B17,MATCH(MAX('فئات الإنفاق'!G5:G17),'فئات الإنفاق'!G5:G17,0))</f>
        <v>العناية الشخصية والحماية الاجتماعية وسلع متنوعة</v>
      </c>
      <c r="E5" s="5" t="str">
        <f aca="false">INDEX('فئات الإنفاق'!B5:B17,MATCH(MAX('فئات الإنفاق'!I5:I17),'فئات الإنفاق'!I5:I17,0))</f>
        <v>السكن والمياه والكهرباء والغاز</v>
      </c>
    </row>
    <row r="8" customFormat="false" ht="15" hidden="false" customHeight="false" outlineLevel="0" collapsed="false">
      <c r="A8" s="6" t="s">
        <v>7</v>
      </c>
    </row>
    <row r="9" customFormat="false" ht="24" hidden="false" customHeight="true" outlineLevel="0" collapsed="fals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</row>
    <row r="10" customFormat="false" ht="15" hidden="false" customHeight="false" outlineLevel="0" collapsed="false">
      <c r="A10" s="8" t="str">
        <f aca="false">'فئات الإنفاق'!B5</f>
        <v>الأغذية والمشروبات</v>
      </c>
      <c r="B10" s="9" t="n">
        <f aca="false">'فئات الإنفاق'!C5</f>
        <v>0.219</v>
      </c>
      <c r="C10" s="9" t="n">
        <f aca="false">'فئات الإنفاق'!G5</f>
        <v>0.00197433366238897</v>
      </c>
      <c r="D10" s="10" t="n">
        <f aca="false">'فئات الإنفاق'!I5</f>
        <v>0.0426070038910512</v>
      </c>
      <c r="E10" s="8" t="str">
        <f aca="false">IF('فئات الإنفاق'!G5&gt;'فئات الإنفاق'!$G$18,"نعم","لا")</f>
        <v>لا</v>
      </c>
    </row>
    <row r="11" customFormat="false" ht="15" hidden="false" customHeight="false" outlineLevel="0" collapsed="false">
      <c r="A11" s="8" t="str">
        <f aca="false">'فئات الإنفاق'!B6</f>
        <v>التبغ</v>
      </c>
      <c r="B11" s="9" t="n">
        <f aca="false">'فئات الإنفاق'!C6</f>
        <v>0.007</v>
      </c>
      <c r="C11" s="9" t="n">
        <f aca="false">'فئات الإنفاق'!G6</f>
        <v>0.00503524672708955</v>
      </c>
      <c r="D11" s="10" t="n">
        <f aca="false">'فئات الإنفاق'!I6</f>
        <v>0.00340466926070039</v>
      </c>
      <c r="E11" s="8" t="str">
        <f aca="false">IF('فئات الإنفاق'!G6&gt;'فئات الإنفاق'!$G$18,"نعم","لا")</f>
        <v>لا</v>
      </c>
    </row>
    <row r="12" customFormat="false" ht="15" hidden="false" customHeight="false" outlineLevel="0" collapsed="false">
      <c r="A12" s="8" t="str">
        <f aca="false">'فئات الإنفاق'!B7</f>
        <v>الملابس والأحذية</v>
      </c>
      <c r="B12" s="9" t="n">
        <f aca="false">'فئات الإنفاق'!C7</f>
        <v>0.037</v>
      </c>
      <c r="C12" s="9" t="n">
        <f aca="false">'فئات الإنفاق'!G7</f>
        <v>0.00103519668737073</v>
      </c>
      <c r="D12" s="10" t="n">
        <f aca="false">'فئات الإنفاق'!I7</f>
        <v>0.00359922178988358</v>
      </c>
      <c r="E12" s="8" t="str">
        <f aca="false">IF('فئات الإنفاق'!G7&gt;'فئات الإنفاق'!$G$18,"نعم","لا")</f>
        <v>لا</v>
      </c>
    </row>
    <row r="13" customFormat="false" ht="15" hidden="false" customHeight="false" outlineLevel="0" collapsed="false">
      <c r="A13" s="8" t="str">
        <f aca="false">'فئات الإنفاق'!B8</f>
        <v>السكن والمياه والكهرباء والغاز</v>
      </c>
      <c r="B13" s="9" t="n">
        <f aca="false">'فئات الإنفاق'!C8</f>
        <v>0.202</v>
      </c>
      <c r="C13" s="9" t="n">
        <f aca="false">'فئات الإنفاق'!G8</f>
        <v>0.0404312668463611</v>
      </c>
      <c r="D13" s="10" t="n">
        <f aca="false">'فئات الإنفاق'!I8</f>
        <v>0.884241245136187</v>
      </c>
      <c r="E13" s="8" t="str">
        <f aca="false">IF('فئات الإنفاق'!G8&gt;'فئات الإنفاق'!$G$18,"نعم","لا")</f>
        <v>نعم</v>
      </c>
    </row>
    <row r="14" customFormat="false" ht="15" hidden="false" customHeight="false" outlineLevel="0" collapsed="false">
      <c r="A14" s="8" t="str">
        <f aca="false">'فئات الإنفاق'!B9</f>
        <v>التأثيث والتجهيزات المنزلية</v>
      </c>
      <c r="B14" s="9" t="n">
        <f aca="false">'فئات الإنفاق'!C9</f>
        <v>0.067</v>
      </c>
      <c r="C14" s="9" t="n">
        <f aca="false">'فئات الإنفاق'!G9</f>
        <v>-0.00610997963340132</v>
      </c>
      <c r="D14" s="10" t="n">
        <f aca="false">'فئات الإنفاق'!I9</f>
        <v>-0.0391050583657593</v>
      </c>
      <c r="E14" s="8" t="str">
        <f aca="false">IF('فئات الإنفاق'!G9&gt;'فئات الإنفاق'!$G$18,"نعم","لا")</f>
        <v>لا</v>
      </c>
    </row>
    <row r="15" customFormat="false" ht="15" hidden="false" customHeight="false" outlineLevel="0" collapsed="false">
      <c r="A15" s="8" t="str">
        <f aca="false">'فئات الإنفاق'!B10</f>
        <v>الصحة</v>
      </c>
      <c r="B15" s="9" t="n">
        <f aca="false">'فئات الإنفاق'!C10</f>
        <v>0.04</v>
      </c>
      <c r="C15" s="9" t="n">
        <f aca="false">'فئات الإنفاق'!G10</f>
        <v>0.00200601805416256</v>
      </c>
      <c r="D15" s="10" t="n">
        <f aca="false">'فئات الإنفاق'!I10</f>
        <v>0.00778210116731529</v>
      </c>
      <c r="E15" s="8" t="str">
        <f aca="false">IF('فئات الإنفاق'!G10&gt;'فئات الإنفاق'!$G$18,"نعم","لا")</f>
        <v>لا</v>
      </c>
    </row>
    <row r="16" customFormat="false" ht="15" hidden="false" customHeight="false" outlineLevel="0" collapsed="false">
      <c r="A16" s="8" t="str">
        <f aca="false">'فئات الإنفاق'!B11</f>
        <v>النقل</v>
      </c>
      <c r="B16" s="9" t="n">
        <f aca="false">'فئات الإنفاق'!C11</f>
        <v>0.145</v>
      </c>
      <c r="C16" s="9" t="n">
        <f aca="false">'فئات الإنفاق'!G11</f>
        <v>0.0129999999999999</v>
      </c>
      <c r="D16" s="10" t="n">
        <f aca="false">'فئات الإنفاق'!I11</f>
        <v>0.183365758754863</v>
      </c>
      <c r="E16" s="8" t="str">
        <f aca="false">IF('فئات الإنفاق'!G11&gt;'فئات الإنفاق'!$G$18,"نعم","لا")</f>
        <v>لا</v>
      </c>
    </row>
    <row r="17" customFormat="false" ht="15" hidden="false" customHeight="false" outlineLevel="0" collapsed="false">
      <c r="A17" s="8" t="str">
        <f aca="false">'فئات الإنفاق'!B12</f>
        <v>المعلومات والاتصالات</v>
      </c>
      <c r="B17" s="9" t="n">
        <f aca="false">'فئات الإنفاق'!C12</f>
        <v>0.052</v>
      </c>
      <c r="C17" s="9" t="n">
        <f aca="false">'فئات الإنفاق'!G12</f>
        <v>0.00718685831622157</v>
      </c>
      <c r="D17" s="10" t="n">
        <f aca="false">'فئات الإنفاق'!I12</f>
        <v>0.0354085603112835</v>
      </c>
      <c r="E17" s="8" t="str">
        <f aca="false">IF('فئات الإنفاق'!G12&gt;'فئات الإنفاق'!$G$18,"نعم","لا")</f>
        <v>لا</v>
      </c>
    </row>
    <row r="18" customFormat="false" ht="15" hidden="false" customHeight="false" outlineLevel="0" collapsed="false">
      <c r="A18" s="8" t="str">
        <f aca="false">'فئات الإنفاق'!B13</f>
        <v>الترفيه والرياضة والثقافة</v>
      </c>
      <c r="B18" s="9" t="n">
        <f aca="false">'فئات الإنفاق'!C13</f>
        <v>0.032</v>
      </c>
      <c r="C18" s="9" t="n">
        <f aca="false">'فئات الإنفاق'!G13</f>
        <v>0.0204878048780488</v>
      </c>
      <c r="D18" s="10" t="n">
        <f aca="false">'فئات الإنفاق'!I13</f>
        <v>0.0653696498054473</v>
      </c>
      <c r="E18" s="8" t="str">
        <f aca="false">IF('فئات الإنفاق'!G13&gt;'فئات الإنفاق'!$G$18,"نعم","لا")</f>
        <v>نعم</v>
      </c>
    </row>
    <row r="19" customFormat="false" ht="15" hidden="false" customHeight="false" outlineLevel="0" collapsed="false">
      <c r="A19" s="8" t="str">
        <f aca="false">'فئات الإنفاق'!B14</f>
        <v>التعليم</v>
      </c>
      <c r="B19" s="9" t="n">
        <f aca="false">'فئات الإنفاق'!C14</f>
        <v>0.022</v>
      </c>
      <c r="C19" s="9" t="n">
        <f aca="false">'فئات الإنفاق'!G14</f>
        <v>0.0148662041625371</v>
      </c>
      <c r="D19" s="10" t="n">
        <f aca="false">'فئات الإنفاق'!I14</f>
        <v>0.0321011673151751</v>
      </c>
      <c r="E19" s="8" t="str">
        <f aca="false">IF('فئات الإنفاق'!G14&gt;'فئات الإنفاق'!$G$18,"نعم","لا")</f>
        <v>لا</v>
      </c>
    </row>
    <row r="20" customFormat="false" ht="15" hidden="false" customHeight="false" outlineLevel="0" collapsed="false">
      <c r="A20" s="8" t="str">
        <f aca="false">'فئات الإنفاق'!B15</f>
        <v>المطاعم وخدمات الإقامة</v>
      </c>
      <c r="B20" s="9" t="n">
        <f aca="false">'فئات الإنفاق'!C15</f>
        <v>0.084</v>
      </c>
      <c r="C20" s="9" t="n">
        <f aca="false">'فئات الإنفاق'!G15</f>
        <v>0.0170454545454546</v>
      </c>
      <c r="D20" s="10" t="n">
        <f aca="false">'فئات الإنفاق'!I15</f>
        <v>0.147081712062258</v>
      </c>
      <c r="E20" s="8" t="str">
        <f aca="false">IF('فئات الإنفاق'!G15&gt;'فئات الإنفاق'!$G$18,"نعم","لا")</f>
        <v>لا</v>
      </c>
    </row>
    <row r="21" customFormat="false" ht="15" hidden="false" customHeight="false" outlineLevel="0" collapsed="false">
      <c r="A21" s="8" t="str">
        <f aca="false">'فئات الإنفاق'!B16</f>
        <v>التأمين والخدمات المالية</v>
      </c>
      <c r="B21" s="9" t="n">
        <f aca="false">'فئات الإنفاق'!C16</f>
        <v>0.032</v>
      </c>
      <c r="C21" s="9" t="n">
        <f aca="false">'فئات الإنفاق'!G16</f>
        <v>0.0212765957446808</v>
      </c>
      <c r="D21" s="10" t="n">
        <f aca="false">'فئات الإنفاق'!I16</f>
        <v>0.0684824902723732</v>
      </c>
      <c r="E21" s="8" t="str">
        <f aca="false">IF('فئات الإنفاق'!G16&gt;'فئات الإنفاق'!$G$18,"نعم","لا")</f>
        <v>نعم</v>
      </c>
    </row>
    <row r="22" customFormat="false" ht="15" hidden="false" customHeight="false" outlineLevel="0" collapsed="false">
      <c r="A22" s="8" t="str">
        <f aca="false">'فئات الإنفاق'!B17</f>
        <v>العناية الشخصية والحماية الاجتماعية وسلع متنوعة</v>
      </c>
      <c r="B22" s="9" t="n">
        <f aca="false">'فئات الإنفاق'!C17</f>
        <v>0.061</v>
      </c>
      <c r="C22" s="9" t="n">
        <f aca="false">'فئات الإنفاق'!G17</f>
        <v>0.0801526717557253</v>
      </c>
      <c r="D22" s="10" t="n">
        <f aca="false">'فئات الإنفاق'!I17</f>
        <v>0.498443579766537</v>
      </c>
      <c r="E22" s="8" t="str">
        <f aca="false">IF('فئات الإنفاق'!G17&gt;'فئات الإنفاق'!$G$18,"نعم","لا")</f>
        <v>نعم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6" min="4" style="0" width="12"/>
    <col collapsed="false" customWidth="true" hidden="false" outlineLevel="0" max="8" min="7" style="0" width="11"/>
    <col collapsed="false" customWidth="true" hidden="false" outlineLevel="0" max="9" min="9" style="0" width="15"/>
    <col collapsed="false" customWidth="true" hidden="false" outlineLevel="0" max="11" min="10" style="0" width="12"/>
  </cols>
  <sheetData>
    <row r="1" customFormat="false" ht="18.6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51.75" hidden="false" customHeight="true" outlineLevel="0" collapsed="false">
      <c r="A4" s="7" t="s">
        <v>15</v>
      </c>
      <c r="B4" s="7" t="s">
        <v>8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  <c r="J4" s="7" t="s">
        <v>23</v>
      </c>
      <c r="K4" s="7" t="s">
        <v>24</v>
      </c>
    </row>
    <row r="5" customFormat="false" ht="15" hidden="false" customHeight="false" outlineLevel="0" collapsed="false">
      <c r="A5" s="11" t="s">
        <v>25</v>
      </c>
      <c r="B5" s="11" t="s">
        <v>26</v>
      </c>
      <c r="C5" s="12" t="n">
        <v>0.219</v>
      </c>
      <c r="D5" s="13" t="n">
        <v>101.3</v>
      </c>
      <c r="E5" s="13" t="n">
        <v>102.3</v>
      </c>
      <c r="F5" s="13" t="n">
        <v>101.5</v>
      </c>
      <c r="G5" s="14" t="n">
        <f aca="false">F5/D5-1</f>
        <v>0.00197433366238897</v>
      </c>
      <c r="H5" s="14" t="n">
        <f aca="false">F5/E5-1</f>
        <v>-0.00782013685239491</v>
      </c>
      <c r="I5" s="15" t="n">
        <f aca="false">C5*(F5-D5)/$D$18*100</f>
        <v>0.0426070038910512</v>
      </c>
      <c r="J5" s="14" t="n">
        <f aca="false">IFERROR(I5/$I$18,0)</f>
        <v>0.0220443907594749</v>
      </c>
      <c r="K5" s="12" t="n">
        <v>0.011</v>
      </c>
    </row>
    <row r="6" customFormat="false" ht="15" hidden="false" customHeight="false" outlineLevel="0" collapsed="false">
      <c r="A6" s="11" t="s">
        <v>27</v>
      </c>
      <c r="B6" s="11" t="s">
        <v>28</v>
      </c>
      <c r="C6" s="12" t="n">
        <v>0.007</v>
      </c>
      <c r="D6" s="13" t="n">
        <v>99.3</v>
      </c>
      <c r="E6" s="13" t="n">
        <v>99.7</v>
      </c>
      <c r="F6" s="13" t="n">
        <v>99.8</v>
      </c>
      <c r="G6" s="14" t="n">
        <f aca="false">F6/D6-1</f>
        <v>0.00503524672708955</v>
      </c>
      <c r="H6" s="14" t="n">
        <f aca="false">F6/E6-1</f>
        <v>0.00100300902708117</v>
      </c>
      <c r="I6" s="15" t="n">
        <f aca="false">C6*(F6-D6)/$D$18*100</f>
        <v>0.00340466926070039</v>
      </c>
      <c r="J6" s="14" t="n">
        <f aca="false">IFERROR(I6/$I$18,0)</f>
        <v>0.00176153807438724</v>
      </c>
      <c r="K6" s="12" t="n">
        <v>0.006</v>
      </c>
    </row>
    <row r="7" customFormat="false" ht="15" hidden="false" customHeight="false" outlineLevel="0" collapsed="false">
      <c r="A7" s="11" t="s">
        <v>29</v>
      </c>
      <c r="B7" s="11" t="s">
        <v>30</v>
      </c>
      <c r="C7" s="12" t="n">
        <v>0.037</v>
      </c>
      <c r="D7" s="13" t="n">
        <v>96.6</v>
      </c>
      <c r="E7" s="13" t="n">
        <v>96.7</v>
      </c>
      <c r="F7" s="13" t="n">
        <v>96.7</v>
      </c>
      <c r="G7" s="14" t="n">
        <f aca="false">F7/D7-1</f>
        <v>0.00103519668737073</v>
      </c>
      <c r="H7" s="14" t="n">
        <f aca="false">F7/E7-1</f>
        <v>0</v>
      </c>
      <c r="I7" s="15" t="n">
        <f aca="false">C7*(F7-D7)/$D$18*100</f>
        <v>0.00359922178988358</v>
      </c>
      <c r="J7" s="14" t="n">
        <f aca="false">IFERROR(I7/$I$18,0)</f>
        <v>0.00186219739292381</v>
      </c>
      <c r="K7" s="12" t="n">
        <v>0</v>
      </c>
    </row>
    <row r="8" customFormat="false" ht="15" hidden="false" customHeight="false" outlineLevel="0" collapsed="false">
      <c r="A8" s="11" t="s">
        <v>31</v>
      </c>
      <c r="B8" s="11" t="s">
        <v>32</v>
      </c>
      <c r="C8" s="12" t="n">
        <v>0.202</v>
      </c>
      <c r="D8" s="13" t="n">
        <v>111.3</v>
      </c>
      <c r="E8" s="13" t="n">
        <v>114.7</v>
      </c>
      <c r="F8" s="13" t="n">
        <v>115.8</v>
      </c>
      <c r="G8" s="14" t="n">
        <f aca="false">F8/D8-1</f>
        <v>0.0404312668463611</v>
      </c>
      <c r="H8" s="14" t="n">
        <f aca="false">F8/E8-1</f>
        <v>0.00959023539668702</v>
      </c>
      <c r="I8" s="15" t="n">
        <f aca="false">C8*(F8-D8)/$D$18*100</f>
        <v>0.884241245136187</v>
      </c>
      <c r="J8" s="14" t="n">
        <f aca="false">IFERROR(I8/$I$18,0)</f>
        <v>0.457496602747999</v>
      </c>
      <c r="K8" s="12" t="n">
        <v>0.061</v>
      </c>
    </row>
    <row r="9" customFormat="false" ht="15" hidden="false" customHeight="false" outlineLevel="0" collapsed="false">
      <c r="A9" s="11" t="s">
        <v>33</v>
      </c>
      <c r="B9" s="11" t="s">
        <v>34</v>
      </c>
      <c r="C9" s="12" t="n">
        <v>0.067</v>
      </c>
      <c r="D9" s="13" t="n">
        <v>98.2</v>
      </c>
      <c r="E9" s="13" t="n">
        <v>97.8</v>
      </c>
      <c r="F9" s="13" t="n">
        <v>97.6</v>
      </c>
      <c r="G9" s="14" t="n">
        <f aca="false">F9/D9-1</f>
        <v>-0.00610997963340132</v>
      </c>
      <c r="H9" s="14" t="n">
        <f aca="false">F9/E9-1</f>
        <v>-0.00204498977505119</v>
      </c>
      <c r="I9" s="15" t="n">
        <f aca="false">C9*(F9-D9)/$D$18*100</f>
        <v>-0.0391050583657593</v>
      </c>
      <c r="J9" s="14" t="n">
        <f aca="false">IFERROR(I9/$I$18,0)</f>
        <v>-0.0202325230258194</v>
      </c>
      <c r="K9" s="12" t="n">
        <v>-0.008</v>
      </c>
    </row>
    <row r="10" customFormat="false" ht="15" hidden="false" customHeight="false" outlineLevel="0" collapsed="false">
      <c r="A10" s="11" t="s">
        <v>35</v>
      </c>
      <c r="B10" s="11" t="s">
        <v>36</v>
      </c>
      <c r="C10" s="12" t="n">
        <v>0.04</v>
      </c>
      <c r="D10" s="13" t="n">
        <v>99.7</v>
      </c>
      <c r="E10" s="13" t="n">
        <v>99.8</v>
      </c>
      <c r="F10" s="13" t="n">
        <v>99.9</v>
      </c>
      <c r="G10" s="14" t="n">
        <f aca="false">F10/D10-1</f>
        <v>0.00200601805416256</v>
      </c>
      <c r="H10" s="14" t="n">
        <f aca="false">F10/E10-1</f>
        <v>0.00100200400801609</v>
      </c>
      <c r="I10" s="15" t="n">
        <f aca="false">C10*(F10-D10)/$D$18*100</f>
        <v>0.00778210116731529</v>
      </c>
      <c r="J10" s="14" t="n">
        <f aca="false">IFERROR(I10/$I$18,0)</f>
        <v>0.0040263727414566</v>
      </c>
      <c r="K10" s="12" t="n">
        <v>-0.002</v>
      </c>
    </row>
    <row r="11" customFormat="false" ht="15" hidden="false" customHeight="false" outlineLevel="0" collapsed="false">
      <c r="A11" s="11" t="s">
        <v>37</v>
      </c>
      <c r="B11" s="11" t="s">
        <v>38</v>
      </c>
      <c r="C11" s="12" t="n">
        <v>0.145</v>
      </c>
      <c r="D11" s="13" t="n">
        <v>100</v>
      </c>
      <c r="E11" s="13" t="n">
        <v>101</v>
      </c>
      <c r="F11" s="13" t="n">
        <v>101.3</v>
      </c>
      <c r="G11" s="14" t="n">
        <f aca="false">F11/D11-1</f>
        <v>0.0129999999999999</v>
      </c>
      <c r="H11" s="14" t="n">
        <f aca="false">F11/E11-1</f>
        <v>0.00297029702970297</v>
      </c>
      <c r="I11" s="15" t="n">
        <f aca="false">C11*(F11-D11)/$D$18*100</f>
        <v>0.183365758754863</v>
      </c>
      <c r="J11" s="14" t="n">
        <f aca="false">IFERROR(I11/$I$18,0)</f>
        <v>0.0948714077205695</v>
      </c>
      <c r="K11" s="12" t="n">
        <v>0.004</v>
      </c>
    </row>
    <row r="12" customFormat="false" ht="15" hidden="false" customHeight="false" outlineLevel="0" collapsed="false">
      <c r="A12" s="11" t="s">
        <v>39</v>
      </c>
      <c r="B12" s="11" t="s">
        <v>40</v>
      </c>
      <c r="C12" s="12" t="n">
        <v>0.052</v>
      </c>
      <c r="D12" s="13" t="n">
        <v>97.4</v>
      </c>
      <c r="E12" s="13" t="n">
        <v>97.8</v>
      </c>
      <c r="F12" s="13" t="n">
        <v>98.1</v>
      </c>
      <c r="G12" s="14" t="n">
        <f aca="false">F12/D12-1</f>
        <v>0.00718685831622157</v>
      </c>
      <c r="H12" s="14" t="n">
        <f aca="false">F12/E12-1</f>
        <v>0.00306748466257667</v>
      </c>
      <c r="I12" s="15" t="n">
        <f aca="false">C12*(F12-D12)/$D$18*100</f>
        <v>0.0354085603112835</v>
      </c>
      <c r="J12" s="14" t="n">
        <f aca="false">IFERROR(I12/$I$18,0)</f>
        <v>0.018319995973627</v>
      </c>
      <c r="K12" s="12" t="n">
        <v>-0.007</v>
      </c>
    </row>
    <row r="13" customFormat="false" ht="15" hidden="false" customHeight="false" outlineLevel="0" collapsed="false">
      <c r="A13" s="11" t="s">
        <v>41</v>
      </c>
      <c r="B13" s="11" t="s">
        <v>42</v>
      </c>
      <c r="C13" s="12" t="n">
        <v>0.032</v>
      </c>
      <c r="D13" s="13" t="n">
        <v>102.5</v>
      </c>
      <c r="E13" s="13" t="n">
        <v>103.5</v>
      </c>
      <c r="F13" s="13" t="n">
        <v>104.6</v>
      </c>
      <c r="G13" s="14" t="n">
        <f aca="false">F13/D13-1</f>
        <v>0.0204878048780488</v>
      </c>
      <c r="H13" s="14" t="n">
        <f aca="false">F13/E13-1</f>
        <v>0.0106280193236714</v>
      </c>
      <c r="I13" s="15" t="n">
        <f aca="false">C13*(F13-D13)/$D$18*100</f>
        <v>0.0653696498054473</v>
      </c>
      <c r="J13" s="14" t="n">
        <f aca="false">IFERROR(I13/$I$18,0)</f>
        <v>0.0338215310282348</v>
      </c>
      <c r="K13" s="12" t="n">
        <v>0.025</v>
      </c>
    </row>
    <row r="14" customFormat="false" ht="15" hidden="false" customHeight="false" outlineLevel="0" collapsed="false">
      <c r="A14" s="11" t="s">
        <v>43</v>
      </c>
      <c r="B14" s="11" t="s">
        <v>44</v>
      </c>
      <c r="C14" s="12" t="n">
        <v>0.022</v>
      </c>
      <c r="D14" s="13" t="n">
        <v>100.9</v>
      </c>
      <c r="E14" s="13" t="n">
        <v>102.4</v>
      </c>
      <c r="F14" s="13" t="n">
        <v>102.4</v>
      </c>
      <c r="G14" s="14" t="n">
        <f aca="false">F14/D14-1</f>
        <v>0.0148662041625371</v>
      </c>
      <c r="H14" s="14" t="n">
        <f aca="false">F14/E14-1</f>
        <v>0</v>
      </c>
      <c r="I14" s="15" t="n">
        <f aca="false">C14*(F14-D14)/$D$18*100</f>
        <v>0.0321011673151751</v>
      </c>
      <c r="J14" s="14" t="n">
        <f aca="false">IFERROR(I14/$I$18,0)</f>
        <v>0.0166087875585082</v>
      </c>
      <c r="K14" s="12" t="n">
        <v>0.003</v>
      </c>
    </row>
    <row r="15" customFormat="false" ht="15" hidden="false" customHeight="false" outlineLevel="0" collapsed="false">
      <c r="A15" s="11" t="s">
        <v>45</v>
      </c>
      <c r="B15" s="11" t="s">
        <v>46</v>
      </c>
      <c r="C15" s="12" t="n">
        <v>0.084</v>
      </c>
      <c r="D15" s="13" t="n">
        <v>105.6</v>
      </c>
      <c r="E15" s="13" t="n">
        <v>105.9</v>
      </c>
      <c r="F15" s="13" t="n">
        <v>107.4</v>
      </c>
      <c r="G15" s="14" t="n">
        <f aca="false">F15/D15-1</f>
        <v>0.0170454545454546</v>
      </c>
      <c r="H15" s="14" t="n">
        <f aca="false">F15/E15-1</f>
        <v>0.0141643059490084</v>
      </c>
      <c r="I15" s="15" t="n">
        <f aca="false">C15*(F15-D15)/$D$18*100</f>
        <v>0.147081712062258</v>
      </c>
      <c r="J15" s="14" t="n">
        <f aca="false">IFERROR(I15/$I$18,0)</f>
        <v>0.0760984448135291</v>
      </c>
      <c r="K15" s="12" t="n">
        <v>0.018</v>
      </c>
    </row>
    <row r="16" customFormat="false" ht="15" hidden="false" customHeight="false" outlineLevel="0" collapsed="false">
      <c r="A16" s="11" t="s">
        <v>47</v>
      </c>
      <c r="B16" s="11" t="s">
        <v>48</v>
      </c>
      <c r="C16" s="12" t="n">
        <v>0.032</v>
      </c>
      <c r="D16" s="13" t="n">
        <v>103.4</v>
      </c>
      <c r="E16" s="13" t="n">
        <v>105.4</v>
      </c>
      <c r="F16" s="13" t="n">
        <v>105.6</v>
      </c>
      <c r="G16" s="14" t="n">
        <f aca="false">F16/D16-1</f>
        <v>0.0212765957446808</v>
      </c>
      <c r="H16" s="14" t="n">
        <f aca="false">F16/E16-1</f>
        <v>0.00189753320683095</v>
      </c>
      <c r="I16" s="15" t="n">
        <f aca="false">C16*(F16-D16)/$D$18*100</f>
        <v>0.0684824902723732</v>
      </c>
      <c r="J16" s="14" t="n">
        <f aca="false">IFERROR(I16/$I$18,0)</f>
        <v>0.0354320801248174</v>
      </c>
      <c r="K16" s="12" t="n">
        <v>0.063</v>
      </c>
    </row>
    <row r="17" customFormat="false" ht="15" hidden="false" customHeight="false" outlineLevel="0" collapsed="false">
      <c r="A17" s="11" t="s">
        <v>49</v>
      </c>
      <c r="B17" s="11" t="s">
        <v>50</v>
      </c>
      <c r="C17" s="12" t="n">
        <v>0.061</v>
      </c>
      <c r="D17" s="13" t="n">
        <v>104.8</v>
      </c>
      <c r="E17" s="13" t="n">
        <v>110.5</v>
      </c>
      <c r="F17" s="13" t="n">
        <v>113.2</v>
      </c>
      <c r="G17" s="14" t="n">
        <f aca="false">F17/D17-1</f>
        <v>0.0801526717557253</v>
      </c>
      <c r="H17" s="14" t="n">
        <f aca="false">F17/E17-1</f>
        <v>0.0244343891402716</v>
      </c>
      <c r="I17" s="15" t="n">
        <f aca="false">C17*(F17-D17)/$D$18*100</f>
        <v>0.498443579766537</v>
      </c>
      <c r="J17" s="14" t="n">
        <f aca="false">IFERROR(I17/$I$18,0)</f>
        <v>0.257889174090292</v>
      </c>
      <c r="K17" s="12" t="n">
        <v>0.051</v>
      </c>
    </row>
    <row r="18" customFormat="false" ht="15" hidden="false" customHeight="false" outlineLevel="0" collapsed="false">
      <c r="A18" s="16" t="s">
        <v>51</v>
      </c>
      <c r="B18" s="16" t="s">
        <v>52</v>
      </c>
      <c r="C18" s="17" t="n">
        <f aca="false">SUM(C5:C17)</f>
        <v>1</v>
      </c>
      <c r="D18" s="18" t="n">
        <v>102.8</v>
      </c>
      <c r="E18" s="18" t="n">
        <v>104.2</v>
      </c>
      <c r="F18" s="18" t="n">
        <v>104.6</v>
      </c>
      <c r="G18" s="17" t="n">
        <f aca="false">F18/D18-1</f>
        <v>0.0175097276264591</v>
      </c>
      <c r="H18" s="17" t="n">
        <f aca="false">F18/E18-1</f>
        <v>0.0038387715930901</v>
      </c>
      <c r="I18" s="19" t="n">
        <f aca="false">SUM(I5:I17)</f>
        <v>1.93278210116732</v>
      </c>
      <c r="J18" s="17" t="n">
        <f aca="false">SUM(J5:J17)</f>
        <v>1</v>
      </c>
      <c r="K18" s="20" t="n">
        <v>0.02</v>
      </c>
    </row>
    <row r="20" customFormat="false" ht="15" hidden="false" customHeight="false" outlineLevel="0" collapsed="false">
      <c r="B20" s="21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45.75" hidden="false" customHeight="true" outlineLevel="0" collapsed="false">
      <c r="A4" s="7" t="s">
        <v>56</v>
      </c>
      <c r="B4" s="7" t="s">
        <v>57</v>
      </c>
      <c r="C4" s="7" t="s">
        <v>58</v>
      </c>
      <c r="D4" s="7" t="s">
        <v>59</v>
      </c>
      <c r="E4" s="7" t="s">
        <v>60</v>
      </c>
    </row>
    <row r="5" customFormat="false" ht="15" hidden="false" customHeight="false" outlineLevel="0" collapsed="false">
      <c r="A5" s="22" t="s">
        <v>61</v>
      </c>
      <c r="B5" s="12" t="n">
        <v>0.004</v>
      </c>
      <c r="C5" s="12"/>
      <c r="D5" s="23"/>
      <c r="E5" s="24"/>
    </row>
    <row r="6" customFormat="false" ht="15" hidden="false" customHeight="false" outlineLevel="0" collapsed="false">
      <c r="A6" s="22" t="s">
        <v>62</v>
      </c>
      <c r="B6" s="12" t="n">
        <v>0.001</v>
      </c>
      <c r="C6" s="12"/>
      <c r="D6" s="23"/>
      <c r="E6" s="24"/>
    </row>
    <row r="7" customFormat="false" ht="15" hidden="false" customHeight="false" outlineLevel="0" collapsed="false">
      <c r="A7" s="22" t="s">
        <v>63</v>
      </c>
      <c r="B7" s="12" t="n">
        <v>0.002</v>
      </c>
      <c r="C7" s="12"/>
      <c r="D7" s="23"/>
      <c r="E7" s="24"/>
    </row>
    <row r="8" customFormat="false" ht="15" hidden="false" customHeight="false" outlineLevel="0" collapsed="false">
      <c r="A8" s="22" t="s">
        <v>64</v>
      </c>
      <c r="B8" s="12" t="n">
        <v>0.004</v>
      </c>
      <c r="C8" s="12"/>
      <c r="D8" s="23"/>
      <c r="E8" s="24"/>
    </row>
    <row r="9" customFormat="false" ht="15" hidden="false" customHeight="false" outlineLevel="0" collapsed="false">
      <c r="A9" s="22" t="s">
        <v>65</v>
      </c>
      <c r="B9" s="12" t="n">
        <v>0.001</v>
      </c>
      <c r="C9" s="12"/>
      <c r="D9" s="23"/>
      <c r="E9" s="24"/>
    </row>
    <row r="10" customFormat="false" ht="15" hidden="false" customHeight="false" outlineLevel="0" collapsed="false">
      <c r="A10" s="22" t="s">
        <v>66</v>
      </c>
      <c r="B10" s="12" t="n">
        <v>0.002</v>
      </c>
      <c r="C10" s="12" t="n">
        <v>0.02</v>
      </c>
      <c r="D10" s="23"/>
      <c r="E10" s="24"/>
    </row>
    <row r="11" customFormat="false" ht="15" hidden="false" customHeight="false" outlineLevel="0" collapsed="false">
      <c r="A11" s="22" t="s">
        <v>67</v>
      </c>
      <c r="B11" s="12" t="n">
        <v>0.001</v>
      </c>
      <c r="C11" s="12" t="n">
        <v>0.022</v>
      </c>
      <c r="D11" s="23"/>
      <c r="E11" s="24"/>
    </row>
    <row r="12" customFormat="false" ht="15" hidden="false" customHeight="false" outlineLevel="0" collapsed="false">
      <c r="A12" s="22" t="s">
        <v>68</v>
      </c>
      <c r="B12" s="12" t="n">
        <v>0.001</v>
      </c>
      <c r="C12" s="12" t="n">
        <v>0.023</v>
      </c>
      <c r="D12" s="23"/>
      <c r="E12" s="24"/>
    </row>
    <row r="13" customFormat="false" ht="15" hidden="false" customHeight="false" outlineLevel="0" collapsed="false">
      <c r="A13" s="22" t="s">
        <v>69</v>
      </c>
      <c r="B13" s="12" t="n">
        <v>-0.001</v>
      </c>
      <c r="C13" s="12" t="n">
        <v>0.022</v>
      </c>
      <c r="D13" s="23"/>
      <c r="E13" s="24"/>
    </row>
    <row r="14" customFormat="false" ht="15" hidden="false" customHeight="false" outlineLevel="0" collapsed="false">
      <c r="A14" s="22" t="s">
        <v>70</v>
      </c>
      <c r="B14" s="12" t="n">
        <v>0.003</v>
      </c>
      <c r="C14" s="12" t="n">
        <v>0.022</v>
      </c>
      <c r="D14" s="23"/>
      <c r="E14" s="24"/>
    </row>
    <row r="15" customFormat="false" ht="15" hidden="false" customHeight="false" outlineLevel="0" collapsed="false">
      <c r="A15" s="22" t="s">
        <v>71</v>
      </c>
      <c r="B15" s="12" t="n">
        <v>0.001</v>
      </c>
      <c r="C15" s="12" t="n">
        <v>0.019</v>
      </c>
      <c r="D15" s="23"/>
      <c r="E15" s="24"/>
    </row>
    <row r="16" customFormat="false" ht="15" hidden="false" customHeight="false" outlineLevel="0" collapsed="false">
      <c r="A16" s="22" t="s">
        <v>72</v>
      </c>
      <c r="B16" s="12" t="n">
        <v>0.001</v>
      </c>
      <c r="C16" s="12" t="n">
        <v>0.021</v>
      </c>
      <c r="D16" s="23" t="n">
        <f aca="false">EXP(SUMPRODUCT(LN(1+B5:B16)))-1</f>
        <v>0.0201728344785801</v>
      </c>
      <c r="E16" s="24" t="n">
        <f aca="false">IF(C16="","",(D16-C16)*100)</f>
        <v>-0.0827165521419909</v>
      </c>
    </row>
    <row r="17" customFormat="false" ht="15" hidden="false" customHeight="false" outlineLevel="0" collapsed="false">
      <c r="A17" s="22" t="s">
        <v>73</v>
      </c>
      <c r="B17" s="12" t="n">
        <v>0.002</v>
      </c>
      <c r="C17" s="12" t="n">
        <v>0.018</v>
      </c>
      <c r="D17" s="23" t="n">
        <f aca="false">EXP(SUMPRODUCT(LN(1+B6:B17)))-1</f>
        <v>0.01814061767683</v>
      </c>
      <c r="E17" s="24" t="n">
        <f aca="false">IF(C17="","",(D17-C17)*100)</f>
        <v>0.0140617676829952</v>
      </c>
    </row>
    <row r="18" customFormat="false" ht="15" hidden="false" customHeight="false" outlineLevel="0" collapsed="false">
      <c r="A18" s="22" t="s">
        <v>74</v>
      </c>
      <c r="B18" s="12" t="n">
        <v>0</v>
      </c>
      <c r="C18" s="12" t="n">
        <v>0.017</v>
      </c>
      <c r="D18" s="23" t="n">
        <f aca="false">EXP(SUMPRODUCT(LN(1+B7:B18)))-1</f>
        <v>0.0171234941826472</v>
      </c>
      <c r="E18" s="24" t="n">
        <f aca="false">IF(C18="","",(D18-C18)*100)</f>
        <v>0.0123494182647246</v>
      </c>
    </row>
    <row r="19" customFormat="false" ht="15" hidden="false" customHeight="false" outlineLevel="0" collapsed="false">
      <c r="A19" s="22" t="s">
        <v>75</v>
      </c>
      <c r="B19" s="12" t="n">
        <v>0.003</v>
      </c>
      <c r="C19" s="12" t="n">
        <v>0.018</v>
      </c>
      <c r="D19" s="23" t="n">
        <f aca="false">EXP(SUMPRODUCT(LN(1+B8:B19)))-1</f>
        <v>0.0181385874902147</v>
      </c>
      <c r="E19" s="24" t="n">
        <f aca="false">IF(C19="","",(D19-C19)*100)</f>
        <v>0.0138587490214687</v>
      </c>
    </row>
    <row r="20" customFormat="false" ht="15" hidden="false" customHeight="false" outlineLevel="0" collapsed="false">
      <c r="A20" s="22" t="s">
        <v>76</v>
      </c>
      <c r="B20" s="12" t="n">
        <v>0.002</v>
      </c>
      <c r="C20" s="12" t="n">
        <v>0.017</v>
      </c>
      <c r="D20" s="23" t="n">
        <f aca="false">EXP(SUMPRODUCT(LN(1+B9:B20)))-1</f>
        <v>0.016110422973302</v>
      </c>
      <c r="E20" s="24" t="n">
        <f aca="false">IF(C20="","",(D20-C20)*100)</f>
        <v>-0.0889577026697994</v>
      </c>
    </row>
    <row r="21" customFormat="false" ht="15" hidden="false" customHeight="false" outlineLevel="0" collapsed="false">
      <c r="A21" s="22" t="s">
        <v>77</v>
      </c>
      <c r="B21" s="12" t="n">
        <v>0.002</v>
      </c>
      <c r="C21" s="12" t="n">
        <v>0.018</v>
      </c>
      <c r="D21" s="23" t="n">
        <f aca="false">EXP(SUMPRODUCT(LN(1+B10:B21)))-1</f>
        <v>0.0171255183009478</v>
      </c>
      <c r="E21" s="24" t="n">
        <f aca="false">IF(C21="","",(D21-C21)*100)</f>
        <v>-0.0874481699052226</v>
      </c>
    </row>
    <row r="22" customFormat="false" ht="15" hidden="false" customHeight="false" outlineLevel="0" collapsed="false">
      <c r="A22" s="22" t="s">
        <v>78</v>
      </c>
      <c r="B22" s="12" t="n">
        <v>0.002</v>
      </c>
      <c r="C22" s="12" t="n">
        <v>0.018</v>
      </c>
      <c r="D22" s="23" t="n">
        <f aca="false">EXP(SUMPRODUCT(LN(1+B11:B22)))-1</f>
        <v>0.0171255183009478</v>
      </c>
      <c r="E22" s="24" t="n">
        <f aca="false">IF(C22="","",(D22-C22)*100)</f>
        <v>-0.0874481699052226</v>
      </c>
    </row>
    <row r="24" customFormat="false" ht="15" hidden="false" customHeight="false" outlineLevel="0" collapsed="false">
      <c r="A24" s="21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7" min="5" style="0" width="18"/>
  </cols>
  <sheetData>
    <row r="1" customFormat="false" ht="19.7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B4" s="25" t="s">
        <v>82</v>
      </c>
      <c r="C4" s="26" t="n">
        <v>10000</v>
      </c>
      <c r="D4" s="27" t="s">
        <v>83</v>
      </c>
    </row>
    <row r="6" customFormat="false" ht="39.75" hidden="false" customHeight="true" outlineLevel="0" collapsed="false">
      <c r="B6" s="7" t="s">
        <v>8</v>
      </c>
      <c r="C6" s="7" t="s">
        <v>84</v>
      </c>
      <c r="D6" s="7" t="s">
        <v>85</v>
      </c>
      <c r="E6" s="7" t="s">
        <v>86</v>
      </c>
      <c r="F6" s="7" t="s">
        <v>87</v>
      </c>
      <c r="G6" s="7" t="s">
        <v>88</v>
      </c>
    </row>
    <row r="7" customFormat="false" ht="15" hidden="false" customHeight="false" outlineLevel="0" collapsed="false">
      <c r="B7" s="28" t="str">
        <f aca="false">'فئات الإنفاق'!B5</f>
        <v>الأغذية والمشروبات</v>
      </c>
      <c r="C7" s="29" t="n">
        <f aca="false">ROUND($C$4*'فئات الإنفاق'!C5,0)</f>
        <v>2190</v>
      </c>
      <c r="D7" s="14" t="n">
        <f aca="false">'فئات الإنفاق'!G5</f>
        <v>0.00197433366238897</v>
      </c>
      <c r="E7" s="28" t="n">
        <f aca="false">C7*(1+D7)</f>
        <v>2194.32379072063</v>
      </c>
      <c r="F7" s="28" t="n">
        <f aca="false">E7-C7</f>
        <v>4.32379072063168</v>
      </c>
      <c r="G7" s="28" t="n">
        <f aca="false">F7*12</f>
        <v>51.8854886475801</v>
      </c>
    </row>
    <row r="8" customFormat="false" ht="15" hidden="false" customHeight="false" outlineLevel="0" collapsed="false">
      <c r="B8" s="28" t="str">
        <f aca="false">'فئات الإنفاق'!B6</f>
        <v>التبغ</v>
      </c>
      <c r="C8" s="29" t="n">
        <f aca="false">ROUND($C$4*'فئات الإنفاق'!C6,0)</f>
        <v>70</v>
      </c>
      <c r="D8" s="14" t="n">
        <f aca="false">'فئات الإنفاق'!G6</f>
        <v>0.00503524672708955</v>
      </c>
      <c r="E8" s="28" t="n">
        <f aca="false">C8*(1+D8)</f>
        <v>70.3524672708963</v>
      </c>
      <c r="F8" s="28" t="n">
        <f aca="false">E8-C8</f>
        <v>0.35246727089627</v>
      </c>
      <c r="G8" s="28" t="n">
        <f aca="false">F8*12</f>
        <v>4.22960725075524</v>
      </c>
    </row>
    <row r="9" customFormat="false" ht="15" hidden="false" customHeight="false" outlineLevel="0" collapsed="false">
      <c r="B9" s="28" t="str">
        <f aca="false">'فئات الإنفاق'!B7</f>
        <v>الملابس والأحذية</v>
      </c>
      <c r="C9" s="29" t="n">
        <f aca="false">ROUND($C$4*'فئات الإنفاق'!C7,0)</f>
        <v>370</v>
      </c>
      <c r="D9" s="14" t="n">
        <f aca="false">'فئات الإنفاق'!G7</f>
        <v>0.00103519668737073</v>
      </c>
      <c r="E9" s="28" t="n">
        <f aca="false">C9*(1+D9)</f>
        <v>370.383022774327</v>
      </c>
      <c r="F9" s="28" t="n">
        <f aca="false">E9-C9</f>
        <v>0.383022774327173</v>
      </c>
      <c r="G9" s="28" t="n">
        <f aca="false">F9*12</f>
        <v>4.59627329192608</v>
      </c>
    </row>
    <row r="10" customFormat="false" ht="15" hidden="false" customHeight="false" outlineLevel="0" collapsed="false">
      <c r="B10" s="28" t="str">
        <f aca="false">'فئات الإنفاق'!B8</f>
        <v>السكن والمياه والكهرباء والغاز</v>
      </c>
      <c r="C10" s="29" t="n">
        <f aca="false">ROUND($C$4*'فئات الإنفاق'!C8,0)</f>
        <v>2020</v>
      </c>
      <c r="D10" s="14" t="n">
        <f aca="false">'فئات الإنفاق'!G8</f>
        <v>0.0404312668463611</v>
      </c>
      <c r="E10" s="28" t="n">
        <f aca="false">C10*(1+D10)</f>
        <v>2101.67115902965</v>
      </c>
      <c r="F10" s="28" t="n">
        <f aca="false">E10-C10</f>
        <v>81.6711590296495</v>
      </c>
      <c r="G10" s="28" t="n">
        <f aca="false">F10*12</f>
        <v>980.053908355794</v>
      </c>
    </row>
    <row r="11" customFormat="false" ht="15" hidden="false" customHeight="false" outlineLevel="0" collapsed="false">
      <c r="B11" s="28" t="str">
        <f aca="false">'فئات الإنفاق'!B9</f>
        <v>التأثيث والتجهيزات المنزلية</v>
      </c>
      <c r="C11" s="29" t="n">
        <f aca="false">ROUND($C$4*'فئات الإنفاق'!C9,0)</f>
        <v>670</v>
      </c>
      <c r="D11" s="14" t="n">
        <f aca="false">'فئات الإنفاق'!G9</f>
        <v>-0.00610997963340132</v>
      </c>
      <c r="E11" s="28" t="n">
        <f aca="false">C11*(1+D11)</f>
        <v>665.906313645621</v>
      </c>
      <c r="F11" s="28" t="n">
        <f aca="false">E11-C11</f>
        <v>-4.09368635437886</v>
      </c>
      <c r="G11" s="28" t="n">
        <f aca="false">F11*12</f>
        <v>-49.1242362525463</v>
      </c>
    </row>
    <row r="12" customFormat="false" ht="15" hidden="false" customHeight="false" outlineLevel="0" collapsed="false">
      <c r="B12" s="28" t="str">
        <f aca="false">'فئات الإنفاق'!B10</f>
        <v>الصحة</v>
      </c>
      <c r="C12" s="29" t="n">
        <f aca="false">ROUND($C$4*'فئات الإنفاق'!C10,0)</f>
        <v>400</v>
      </c>
      <c r="D12" s="14" t="n">
        <f aca="false">'فئات الإنفاق'!G10</f>
        <v>0.00200601805416256</v>
      </c>
      <c r="E12" s="28" t="n">
        <f aca="false">C12*(1+D12)</f>
        <v>400.802407221665</v>
      </c>
      <c r="F12" s="28" t="n">
        <f aca="false">E12-C12</f>
        <v>0.802407221665021</v>
      </c>
      <c r="G12" s="28" t="n">
        <f aca="false">F12*12</f>
        <v>9.62888665998025</v>
      </c>
    </row>
    <row r="13" customFormat="false" ht="15" hidden="false" customHeight="false" outlineLevel="0" collapsed="false">
      <c r="B13" s="28" t="str">
        <f aca="false">'فئات الإنفاق'!B11</f>
        <v>النقل</v>
      </c>
      <c r="C13" s="29" t="n">
        <f aca="false">ROUND($C$4*'فئات الإنفاق'!C11,0)</f>
        <v>1450</v>
      </c>
      <c r="D13" s="14" t="n">
        <f aca="false">'فئات الإنفاق'!G11</f>
        <v>0.0129999999999999</v>
      </c>
      <c r="E13" s="28" t="n">
        <f aca="false">C13*(1+D13)</f>
        <v>1468.85</v>
      </c>
      <c r="F13" s="28" t="n">
        <f aca="false">E13-C13</f>
        <v>18.8499999999999</v>
      </c>
      <c r="G13" s="28" t="n">
        <f aca="false">F13*12</f>
        <v>226.199999999999</v>
      </c>
    </row>
    <row r="14" customFormat="false" ht="15" hidden="false" customHeight="false" outlineLevel="0" collapsed="false">
      <c r="B14" s="28" t="str">
        <f aca="false">'فئات الإنفاق'!B12</f>
        <v>المعلومات والاتصالات</v>
      </c>
      <c r="C14" s="29" t="n">
        <f aca="false">ROUND($C$4*'فئات الإنفاق'!C12,0)</f>
        <v>520</v>
      </c>
      <c r="D14" s="14" t="n">
        <f aca="false">'فئات الإنفاق'!G12</f>
        <v>0.00718685831622157</v>
      </c>
      <c r="E14" s="28" t="n">
        <f aca="false">C14*(1+D14)</f>
        <v>523.737166324435</v>
      </c>
      <c r="F14" s="28" t="n">
        <f aca="false">E14-C14</f>
        <v>3.73716632443518</v>
      </c>
      <c r="G14" s="28" t="n">
        <f aca="false">F14*12</f>
        <v>44.8459958932222</v>
      </c>
    </row>
    <row r="15" customFormat="false" ht="15" hidden="false" customHeight="false" outlineLevel="0" collapsed="false">
      <c r="B15" s="28" t="str">
        <f aca="false">'فئات الإنفاق'!B13</f>
        <v>الترفيه والرياضة والثقافة</v>
      </c>
      <c r="C15" s="29" t="n">
        <f aca="false">ROUND($C$4*'فئات الإنفاق'!C13,0)</f>
        <v>320</v>
      </c>
      <c r="D15" s="14" t="n">
        <f aca="false">'فئات الإنفاق'!G13</f>
        <v>0.0204878048780488</v>
      </c>
      <c r="E15" s="28" t="n">
        <f aca="false">C15*(1+D15)</f>
        <v>326.556097560976</v>
      </c>
      <c r="F15" s="28" t="n">
        <f aca="false">E15-C15</f>
        <v>6.55609756097562</v>
      </c>
      <c r="G15" s="28" t="n">
        <f aca="false">F15*12</f>
        <v>78.6731707317074</v>
      </c>
    </row>
    <row r="16" customFormat="false" ht="15" hidden="false" customHeight="false" outlineLevel="0" collapsed="false">
      <c r="B16" s="28" t="str">
        <f aca="false">'فئات الإنفاق'!B14</f>
        <v>التعليم</v>
      </c>
      <c r="C16" s="29" t="n">
        <f aca="false">ROUND($C$4*'فئات الإنفاق'!C14,0)</f>
        <v>220</v>
      </c>
      <c r="D16" s="14" t="n">
        <f aca="false">'فئات الإنفاق'!G14</f>
        <v>0.0148662041625371</v>
      </c>
      <c r="E16" s="28" t="n">
        <f aca="false">C16*(1+D16)</f>
        <v>223.270564915758</v>
      </c>
      <c r="F16" s="28" t="n">
        <f aca="false">E16-C16</f>
        <v>3.27056491575817</v>
      </c>
      <c r="G16" s="28" t="n">
        <f aca="false">F16*12</f>
        <v>39.2467789890981</v>
      </c>
    </row>
    <row r="17" customFormat="false" ht="15" hidden="false" customHeight="false" outlineLevel="0" collapsed="false">
      <c r="B17" s="28" t="str">
        <f aca="false">'فئات الإنفاق'!B15</f>
        <v>المطاعم وخدمات الإقامة</v>
      </c>
      <c r="C17" s="29" t="n">
        <f aca="false">ROUND($C$4*'فئات الإنفاق'!C15,0)</f>
        <v>840</v>
      </c>
      <c r="D17" s="14" t="n">
        <f aca="false">'فئات الإنفاق'!G15</f>
        <v>0.0170454545454546</v>
      </c>
      <c r="E17" s="28" t="n">
        <f aca="false">C17*(1+D17)</f>
        <v>854.318181818182</v>
      </c>
      <c r="F17" s="28" t="n">
        <f aca="false">E17-C17</f>
        <v>14.3181818181819</v>
      </c>
      <c r="G17" s="28" t="n">
        <f aca="false">F17*12</f>
        <v>171.818181818182</v>
      </c>
    </row>
    <row r="18" customFormat="false" ht="15" hidden="false" customHeight="false" outlineLevel="0" collapsed="false">
      <c r="B18" s="28" t="str">
        <f aca="false">'فئات الإنفاق'!B16</f>
        <v>التأمين والخدمات المالية</v>
      </c>
      <c r="C18" s="29" t="n">
        <f aca="false">ROUND($C$4*'فئات الإنفاق'!C16,0)</f>
        <v>320</v>
      </c>
      <c r="D18" s="14" t="n">
        <f aca="false">'فئات الإنفاق'!G16</f>
        <v>0.0212765957446808</v>
      </c>
      <c r="E18" s="28" t="n">
        <f aca="false">C18*(1+D18)</f>
        <v>326.808510638298</v>
      </c>
      <c r="F18" s="28" t="n">
        <f aca="false">E18-C18</f>
        <v>6.80851063829783</v>
      </c>
      <c r="G18" s="28" t="n">
        <f aca="false">F18*12</f>
        <v>81.702127659574</v>
      </c>
    </row>
    <row r="19" customFormat="false" ht="15" hidden="false" customHeight="false" outlineLevel="0" collapsed="false">
      <c r="B19" s="28" t="str">
        <f aca="false">'فئات الإنفاق'!B17</f>
        <v>العناية الشخصية والحماية الاجتماعية وسلع متنوعة</v>
      </c>
      <c r="C19" s="29" t="n">
        <f aca="false">ROUND($C$4*'فئات الإنفاق'!C17,0)</f>
        <v>610</v>
      </c>
      <c r="D19" s="14" t="n">
        <f aca="false">'فئات الإنفاق'!G17</f>
        <v>0.0801526717557253</v>
      </c>
      <c r="E19" s="28" t="n">
        <f aca="false">C19*(1+D19)</f>
        <v>658.893129770993</v>
      </c>
      <c r="F19" s="28" t="n">
        <f aca="false">E19-C19</f>
        <v>48.8931297709925</v>
      </c>
      <c r="G19" s="28" t="n">
        <f aca="false">F19*12</f>
        <v>586.71755725191</v>
      </c>
    </row>
    <row r="20" customFormat="false" ht="15" hidden="false" customHeight="false" outlineLevel="0" collapsed="false">
      <c r="B20" s="30" t="s">
        <v>89</v>
      </c>
      <c r="C20" s="30" t="n">
        <f aca="false">SUM(C7:C19)</f>
        <v>10000</v>
      </c>
      <c r="D20" s="17" t="n">
        <f aca="false">IFERROR(E20/C20-1,0)</f>
        <v>0.0185872811691434</v>
      </c>
      <c r="E20" s="30" t="n">
        <f aca="false">SUM(E7:E19)</f>
        <v>10185.8728116914</v>
      </c>
      <c r="F20" s="30" t="n">
        <f aca="false">SUM(F7:F19)</f>
        <v>185.872811691432</v>
      </c>
      <c r="G20" s="30" t="n">
        <f aca="false">SUM(G7:G19)</f>
        <v>2230.47374029718</v>
      </c>
    </row>
    <row r="21" customFormat="false" ht="15" hidden="false" customHeight="false" outlineLevel="0" collapsed="false">
      <c r="B21" s="21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91</v>
      </c>
    </row>
    <row r="3" customFormat="false" ht="26.85" hidden="false" customHeight="false" outlineLevel="0" collapsed="false">
      <c r="A3" s="25" t="s">
        <v>92</v>
      </c>
      <c r="B3" s="31" t="s">
        <v>93</v>
      </c>
    </row>
    <row r="4" customFormat="false" ht="15" hidden="false" customHeight="false" outlineLevel="0" collapsed="false">
      <c r="A4" s="25"/>
      <c r="B4" s="32" t="s">
        <v>94</v>
      </c>
    </row>
    <row r="5" customFormat="false" ht="15" hidden="false" customHeight="false" outlineLevel="0" collapsed="false">
      <c r="A5" s="25" t="s">
        <v>95</v>
      </c>
      <c r="B5" s="31" t="s">
        <v>96</v>
      </c>
    </row>
    <row r="6" customFormat="false" ht="15" hidden="false" customHeight="false" outlineLevel="0" collapsed="false">
      <c r="A6" s="25"/>
      <c r="B6" s="32" t="s">
        <v>97</v>
      </c>
    </row>
    <row r="7" customFormat="false" ht="15" hidden="false" customHeight="false" outlineLevel="0" collapsed="false">
      <c r="A7" s="25" t="s">
        <v>98</v>
      </c>
      <c r="B7" s="31" t="s">
        <v>99</v>
      </c>
    </row>
    <row r="8" customFormat="false" ht="26.85" hidden="false" customHeight="false" outlineLevel="0" collapsed="false">
      <c r="A8" s="25" t="s">
        <v>100</v>
      </c>
      <c r="B8" s="31" t="s">
        <v>101</v>
      </c>
    </row>
    <row r="9" customFormat="false" ht="26.85" hidden="false" customHeight="false" outlineLevel="0" collapsed="false">
      <c r="A9" s="25" t="s">
        <v>102</v>
      </c>
      <c r="B9" s="31" t="s">
        <v>103</v>
      </c>
    </row>
    <row r="10" customFormat="false" ht="15" hidden="false" customHeight="false" outlineLevel="0" collapsed="false">
      <c r="A10" s="25" t="s">
        <v>104</v>
      </c>
      <c r="B10" s="31" t="s">
        <v>105</v>
      </c>
    </row>
  </sheetData>
  <hyperlinks>
    <hyperlink ref="B4" r:id="rId1" display="https://www.sama.gov.sa/en-US/Publications/EconomicReports/InflationReports/Inflation_Q1_2026-En.pdf"/>
    <hyperlink ref="B6" r:id="rId2" display="https://www.stats.gov.sa/documents/20117/2435267/CPI+Jun+2026-EN+(1).pdf/06a48d85-4368-1e92-dfcb-8a092010e724?t=178394188804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2026-10-23T20:37:14Z</dcterms:created>
  <dc:creator>openpyxl</dc:creator>
  <dc:description/>
  <dc:language>en-US</dc:language>
  <cp:lastModifiedBy/>
  <dcterms:modified xsi:type="dcterms:W3CDTF">2026-10-23T23:37:18Z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