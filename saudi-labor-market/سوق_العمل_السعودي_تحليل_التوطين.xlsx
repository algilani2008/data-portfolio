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نظرة عامة" sheetId="1" state="visible" r:id="rId3"/>
    <sheet name="التوطين حسب النشاط" sheetId="2" state="visible" r:id="rId4"/>
    <sheet name="الاتجاه الربعي" sheetId="3" state="visible" r:id="rId5"/>
    <sheet name="إجمالي المشتغلين" sheetId="4" state="visible" r:id="rId6"/>
    <sheet name="المشتغلون غير السعوديين" sheetId="5" state="visible" r:id="rId7"/>
    <sheet name="المصدر والملاحظات"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<sst xmlns="http://schemas.openxmlformats.org/spreadsheetml/2006/main" count="183" uniqueCount="86">
  <si>
    <t xml:space="preserve">سوق العمل السعودي: التوظيف والتوطين حسب النشاط الاقتصادي</t>
  </si>
  <si>
    <t xml:space="preserve">المصدر: الهيئة العامة للإحصاء، إحصاءات سوق العمل المبنية على السجلات الإدارية (عبر مرصد أسواق العمل والهجرة الخليجية GLMM).</t>
  </si>
  <si>
    <t xml:space="preserve">إجمالي المشتغلين (الربع الأول 2025)</t>
  </si>
  <si>
    <t xml:space="preserve">السعوديون</t>
  </si>
  <si>
    <t xml:space="preserve">نسبة التوطين</t>
  </si>
  <si>
    <t xml:space="preserve">التغير في نسبة التوطين منذ الربع الثاني 2021 (نقطة مئوية)</t>
  </si>
  <si>
    <t xml:space="preserve">نمو السعوديين منذ الربع الثاني 2021</t>
  </si>
  <si>
    <t xml:space="preserve">أعلى 5 أنشطة في نسبة التوطين (الأنشطة التي يزيد عدد المشتغلين فيها عن 50,000)</t>
  </si>
  <si>
    <t xml:space="preserve">الترتيب</t>
  </si>
  <si>
    <t xml:space="preserve">النشاط الاقتصادي</t>
  </si>
  <si>
    <t xml:space="preserve">عدد السعوديين</t>
  </si>
  <si>
    <t xml:space="preserve">إجمالي المشتغلين</t>
  </si>
  <si>
    <t xml:space="preserve">أقل 5 أنشطة في نسبة التوطين (نفس الشرط)</t>
  </si>
  <si>
    <t xml:space="preserve">نسبة التوطين حسب النشاط الاقتصادي - الربع الأول 2025</t>
  </si>
  <si>
    <t xml:space="preserve">غير السعوديين</t>
  </si>
  <si>
    <t xml:space="preserve">الحصة من إجمالي التوظيف</t>
  </si>
  <si>
    <t xml:space="preserve">السعوديون الربع الثاني 2021</t>
  </si>
  <si>
    <t xml:space="preserve">نمو السعوديين %</t>
  </si>
  <si>
    <t xml:space="preserve">نسبة التوطين الربع الثاني 2021</t>
  </si>
  <si>
    <t xml:space="preserve">التغير في نسبة التوطين (نقطة مئوية)</t>
  </si>
  <si>
    <t xml:space="preserve">مساعد للترتيب</t>
  </si>
  <si>
    <t xml:space="preserve">الزراعة والحراجة وصيد الأسماك</t>
  </si>
  <si>
    <t xml:space="preserve">التعدين واستغلال المحاجر</t>
  </si>
  <si>
    <t xml:space="preserve">الصناعات التحويلية</t>
  </si>
  <si>
    <t xml:space="preserve">الكهرباء والغاز والتكييف</t>
  </si>
  <si>
    <t xml:space="preserve">المياه والصرف الصحي وإدارة النفايات</t>
  </si>
  <si>
    <t xml:space="preserve">التشييد</t>
  </si>
  <si>
    <t xml:space="preserve">تجارة الجملة والتجزئة وإصلاح المركبات</t>
  </si>
  <si>
    <t xml:space="preserve">النقل والتخزين</t>
  </si>
  <si>
    <t xml:space="preserve">الإقامة وخدمات الطعام</t>
  </si>
  <si>
    <t xml:space="preserve">المعلومات والاتصالات</t>
  </si>
  <si>
    <t xml:space="preserve">الأنشطة المالية والتأمين</t>
  </si>
  <si>
    <t xml:space="preserve">الأنشطة العقارية</t>
  </si>
  <si>
    <t xml:space="preserve">الأنشطة المهنية والعلمية والتقنية</t>
  </si>
  <si>
    <t xml:space="preserve">الخدمات الإدارية وخدمات الدعم</t>
  </si>
  <si>
    <t xml:space="preserve">الإدارة العامة والدفاع والضمان الاجتماعي</t>
  </si>
  <si>
    <t xml:space="preserve">التعليم</t>
  </si>
  <si>
    <t xml:space="preserve">الصحة البشرية والعمل الاجتماعي</t>
  </si>
  <si>
    <t xml:space="preserve">الفنون والترفيه والتسلية</t>
  </si>
  <si>
    <t xml:space="preserve">أنشطة الخدمات الأخرى</t>
  </si>
  <si>
    <t xml:space="preserve">الأسر المعيشية بصفتها صاحبة عمل</t>
  </si>
  <si>
    <t xml:space="preserve">المنظمات والهيئات الدولية</t>
  </si>
  <si>
    <t xml:space="preserve">غير محدد</t>
  </si>
  <si>
    <t xml:space="preserve">الإجمالي</t>
  </si>
  <si>
    <t xml:space="preserve">الأرقام الخضراء مسحوبة من أوراق البيانات، والسوداء معادلات. السعوديون = الإجمالي - غير السعوديين.</t>
  </si>
  <si>
    <t xml:space="preserve">اتجاه التوظيف والتوطين ربعياً</t>
  </si>
  <si>
    <t xml:space="preserve">الربع</t>
  </si>
  <si>
    <t xml:space="preserve">نمو السعوديين عن الربع السابق</t>
  </si>
  <si>
    <t xml:space="preserve">الربع الثاني 2021</t>
  </si>
  <si>
    <t xml:space="preserve">الربع الثالث 2021</t>
  </si>
  <si>
    <t xml:space="preserve">الربع الرابع 2021</t>
  </si>
  <si>
    <t xml:space="preserve">الربع الأول 2022</t>
  </si>
  <si>
    <t xml:space="preserve">الربع الثاني 2022</t>
  </si>
  <si>
    <t xml:space="preserve">الربع الرابع 2022</t>
  </si>
  <si>
    <t xml:space="preserve">الربع الأول 2023</t>
  </si>
  <si>
    <t xml:space="preserve">الربع الثاني 2023</t>
  </si>
  <si>
    <t xml:space="preserve">الربع الثالث 2023</t>
  </si>
  <si>
    <t xml:space="preserve">الربع الرابع 2023</t>
  </si>
  <si>
    <t xml:space="preserve">الربع الأول 2024</t>
  </si>
  <si>
    <t xml:space="preserve">الربع الثاني 2024</t>
  </si>
  <si>
    <t xml:space="preserve">الربع الثالث 2024</t>
  </si>
  <si>
    <t xml:space="preserve">الربع الرابع 2024</t>
  </si>
  <si>
    <t xml:space="preserve">الربع الأول 2025</t>
  </si>
  <si>
    <t xml:space="preserve">الربع الثالث 2022 غير متاح في المصدر فلم يُدرج، لذلك نمو الربع الرابع 2022 محسوب مقارنة بالربع الثاني 2022.</t>
  </si>
  <si>
    <t xml:space="preserve">إجمالي المشتغلين حسب النشاط الاقتصادي (سعوديون وغير سعوديين)</t>
  </si>
  <si>
    <t xml:space="preserve">المصدر: الهيئة العامة للإحصاء، إحصاءات سوق العمل المبنية على السجلات الإدارية (عبر مرصد أسواق العمل والهجرة الخليجية GLMM). عدد الأفراد المشتغلين.</t>
  </si>
  <si>
    <t xml:space="preserve">الربع الثالث 2022</t>
  </si>
  <si>
    <t xml:space="preserve">الربع الثالث 2022 غير متاح في المصدر. الأرقام الزرقاء مدخلات من المصدر، والإجمالي معادلة.</t>
  </si>
  <si>
    <t xml:space="preserve">المشتغلون غير السعوديين حسب النشاط الاقتصادي</t>
  </si>
  <si>
    <t xml:space="preserve">المصدر والملاحظات المنهجية</t>
  </si>
  <si>
    <t xml:space="preserve">المصدر الأصلي</t>
  </si>
  <si>
    <t xml:space="preserve">الهيئة العامة للإحصاء (GASTAT)، إحصاءات سوق العمل المبنية على السجلات الإدارية.</t>
  </si>
  <si>
    <t xml:space="preserve">الجداول المستخدمة</t>
  </si>
  <si>
    <t xml:space="preserve">إجمالي المشتغلين حسب النشاط الاقتصادي (الربع الأول 2021 - الربع الأول 2025)، والمشتغلون غير السعوديين حسب النشاط الاقتصادي (الربع الأول 2021 - الربع الثالث 2025)، كما نشرها مرصد GLMM:</t>
  </si>
  <si>
    <t xml:space="preserve">https://gulfmigration.grc.net/saudi-arabia-saudi-employed-population-by-main-group-of-economic-activities-q1-2021-q1-2025-2/</t>
  </si>
  <si>
    <t xml:space="preserve">https://gulfmigration.grc.net/saudi-arabia-non-saudi-employed-population-by-main-group-of-economic-activities-q1-2021-q3-2025/</t>
  </si>
  <si>
    <t xml:space="preserve">التغطية</t>
  </si>
  <si>
    <t xml:space="preserve">لا تشمل البيانات العاملين في القطاعات العسكرية والأمنية، ولا السعوديين غير المسجلين في الخدمة المدنية أو التأمينات الاجتماعية أو سجلات العمالة المنزلية، ولا غير السعوديين الذين تقل مدة عملهم عن ثلاثة أشهر.</t>
  </si>
  <si>
    <t xml:space="preserve">فترة التحليل</t>
  </si>
  <si>
    <t xml:space="preserve">من الربع الثاني 2021 إلى الربع الأول 2025. استُبعد الربع الأول 2021 لأن عمود الإجمالي في الجدول المنشور مطابق لعمود غير السعوديين (خطأ في المصدر). الربع الثالث 2022 غير متاح في المصدر.</t>
  </si>
  <si>
    <t xml:space="preserve">طريقة الحساب</t>
  </si>
  <si>
    <t xml:space="preserve">السعوديون = إجمالي المشتغلين - غير السعوديين. نسبة التوطين = السعوديون ÷ إجمالي المشتغلين. التغير بالنقاط المئوية = الفرق بين نسبتي التوطين × 100.</t>
  </si>
  <si>
    <t xml:space="preserve">التحقق</t>
  </si>
  <si>
    <t xml:space="preserve">مجموع الأنشطة في كل ربع يساوي الإجمالي المنشور في المصدر تماماً للجدولين.</t>
  </si>
  <si>
    <t xml:space="preserve">تنبيه</t>
  </si>
  <si>
    <t xml:space="preserve">التغيرات الكبيرة في بعض الأنشطة بين الأرباع (مثل الزراعة والتعليم وغير محدد) قد تعكس إعادة تصنيف في السجلات الإدارية وليس تغيراً فعلياً في التوظيف.</t>
  </si>
</sst>
</file>

<file path=xl/styles.xml><?xml version="1.0" encoding="utf-8"?>
<styleSheet xmlns="http://schemas.openxmlformats.org/spreadsheetml/2006/main">
  <numFmts count="6">
    <numFmt numFmtId="164" formatCode="General"/>
    <numFmt numFmtId="165" formatCode="#,##0"/>
    <numFmt numFmtId="166" formatCode="0.0%"/>
    <numFmt numFmtId="167" formatCode="\+0.0;\-0.0;0.0"/>
    <numFmt numFmtId="168" formatCode="0.00%"/>
    <numFmt numFmtId="169" formatCode="0%"/>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0"/>
      <color rgb="FFFFFFFF"/>
      <name val="Arial"/>
      <family val="0"/>
      <charset val="1"/>
    </font>
    <font>
      <b val="true"/>
      <sz val="12"/>
      <color rgb="FF1F3864"/>
      <name val="Arial"/>
      <family val="0"/>
      <charset val="1"/>
    </font>
    <font>
      <sz val="11"/>
      <name val="Arial"/>
      <family val="0"/>
      <charset val="1"/>
    </font>
    <font>
      <sz val="8"/>
      <color rgb="FFA6A6A6"/>
      <name val="Arial"/>
      <family val="0"/>
      <charset val="1"/>
    </font>
    <font>
      <sz val="11"/>
      <color rgb="FF000000"/>
      <name val="Arial"/>
      <family val="0"/>
      <charset val="1"/>
    </font>
    <font>
      <sz val="11"/>
      <color rgb="FF008000"/>
      <name val="Arial"/>
      <family val="0"/>
      <charset val="1"/>
    </font>
    <font>
      <b val="true"/>
      <sz val="11"/>
      <color rgb="FF000000"/>
      <name val="Arial"/>
      <family val="0"/>
      <charset val="1"/>
    </font>
    <font>
      <i val="true"/>
      <sz val="9"/>
      <name val="Arial"/>
      <family val="0"/>
      <charset val="1"/>
    </font>
    <font>
      <b val="true"/>
      <sz val="18"/>
      <color rgb="FF000000"/>
      <name val="FreeSans"/>
      <family val="2"/>
    </font>
    <font>
      <b val="true"/>
      <sz val="18"/>
      <color rgb="FF000000"/>
      <name val="Calibri"/>
      <family val="2"/>
    </font>
    <font>
      <sz val="10"/>
      <color rgb="FF000000"/>
      <name val="Calibri"/>
      <family val="2"/>
    </font>
    <font>
      <sz val="11"/>
      <color rgb="FF0000FF"/>
      <name val="Arial"/>
      <family val="0"/>
      <charset val="1"/>
    </font>
    <font>
      <b val="true"/>
      <sz val="11"/>
      <name val="Arial"/>
      <family val="0"/>
      <charset val="1"/>
    </font>
    <font>
      <sz val="11"/>
      <color rgb="FF0563C1"/>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2F3"/>
        <bgColor rgb="FFD9D9D9"/>
      </patternFill>
    </fill>
    <fill>
      <patternFill patternType="solid">
        <fgColor rgb="FFE2EFDA"/>
        <bgColor rgb="FFD9E2F3"/>
      </patternFill>
    </fill>
    <fill>
      <patternFill patternType="solid">
        <fgColor rgb="FFFCE4D6"/>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4" fillId="3" borderId="1" xfId="0" applyFont="true" applyBorder="true" applyAlignment="true" applyProtection="false">
      <alignment horizontal="center" vertical="center" textRotation="0" wrapText="false" indent="0" shrinkToFit="false"/>
      <protection locked="true" hidden="false"/>
    </xf>
    <xf numFmtId="166" fontId="4" fillId="3" borderId="1" xfId="0" applyFont="true" applyBorder="true" applyAlignment="true" applyProtection="false">
      <alignment horizontal="center" vertical="center" textRotation="0" wrapText="false" indent="0" shrinkToFit="false"/>
      <protection locked="true" hidden="false"/>
    </xf>
    <xf numFmtId="167" fontId="4" fillId="3"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5" fontId="12" fillId="3" borderId="1" xfId="0" applyFont="true" applyBorder="true" applyAlignment="false" applyProtection="false">
      <alignment horizontal="general" vertical="bottom" textRotation="0" wrapText="false" indent="0" shrinkToFit="false"/>
      <protection locked="true" hidden="false"/>
    </xf>
    <xf numFmtId="166" fontId="12" fillId="3" borderId="1" xfId="0" applyFont="true" applyBorder="true" applyAlignment="false" applyProtection="false">
      <alignment horizontal="general" vertical="bottom" textRotation="0" wrapText="false" indent="0" shrinkToFit="false"/>
      <protection locked="true" hidden="false"/>
    </xf>
    <xf numFmtId="167" fontId="12" fillId="3"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5" fontId="17"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CE4D6"/>
      <rgbColor rgb="FFD9E2F3"/>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A7EBB"/>
      <rgbColor rgb="FF33CCCC"/>
      <rgbColor rgb="FF99CC00"/>
      <rgbColor rgb="FFFFCC00"/>
      <rgbColor rgb="FFFF9900"/>
      <rgbColor rgb="FFFF6600"/>
      <rgbColor rgb="FF595959"/>
      <rgbColor rgb="FFA6A6A6"/>
      <rgbColor rgb="FF1F3864"/>
      <rgbColor rgb="FF4F81BD"/>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نسبة التوطين حسب النشاط - الربع الأول 2025</a:t>
            </a:r>
          </a:p>
        </c:rich>
      </c:tx>
      <c:overlay val="0"/>
      <c:spPr>
        <a:noFill/>
        <a:ln w="0">
          <a:noFill/>
        </a:ln>
      </c:spPr>
    </c:title>
    <c:autoTitleDeleted val="0"/>
    <c:plotArea>
      <c:barChart>
        <c:barDir val="bar"/>
        <c:grouping val="clustered"/>
        <c:varyColors val="0"/>
        <c:ser>
          <c:idx val="0"/>
          <c:order val="0"/>
          <c:tx>
            <c:strRef>
              <c:f>'التوطين حسب النشاط'!E4</c:f>
              <c:strCache>
                <c:ptCount val="1"/>
                <c:pt idx="0">
                  <c:v>نسبة التوطين</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'التوطين حسب النشاط'!$A$5:$A$26</c:f>
              <c:strCache>
                <c:ptCount val="22"/>
                <c:pt idx="0">
                  <c:v>الزراعة والحراجة وصيد الأسماك</c:v>
                </c:pt>
                <c:pt idx="1">
                  <c:v>التعدين واستغلال المحاجر</c:v>
                </c:pt>
                <c:pt idx="2">
                  <c:v>الصناعات التحويلية</c:v>
                </c:pt>
                <c:pt idx="3">
                  <c:v>الكهرباء والغاز والتكييف</c:v>
                </c:pt>
                <c:pt idx="4">
                  <c:v>المياه والصرف الصحي وإدارة النفايات</c:v>
                </c:pt>
                <c:pt idx="5">
                  <c:v>التشييد</c:v>
                </c:pt>
                <c:pt idx="6">
                  <c:v>تجارة الجملة والتجزئة وإصلاح المركبات</c:v>
                </c:pt>
                <c:pt idx="7">
                  <c:v>النقل والتخزين</c:v>
                </c:pt>
                <c:pt idx="8">
                  <c:v>الإقامة وخدمات الطعام</c:v>
                </c:pt>
                <c:pt idx="9">
                  <c:v>المعلومات والاتصالات</c:v>
                </c:pt>
                <c:pt idx="10">
                  <c:v>الأنشطة المالية والتأمين</c:v>
                </c:pt>
                <c:pt idx="11">
                  <c:v>الأنشطة العقارية</c:v>
                </c:pt>
                <c:pt idx="12">
                  <c:v>الأنشطة المهنية والعلمية والتقنية</c:v>
                </c:pt>
                <c:pt idx="13">
                  <c:v>الخدمات الإدارية وخدمات الدعم</c:v>
                </c:pt>
                <c:pt idx="14">
                  <c:v>الإدارة العامة والدفاع والضمان الاجتماعي</c:v>
                </c:pt>
                <c:pt idx="15">
                  <c:v>التعليم</c:v>
                </c:pt>
                <c:pt idx="16">
                  <c:v>الصحة البشرية والعمل الاجتماعي</c:v>
                </c:pt>
                <c:pt idx="17">
                  <c:v>الفنون والترفيه والتسلية</c:v>
                </c:pt>
                <c:pt idx="18">
                  <c:v>أنشطة الخدمات الأخرى</c:v>
                </c:pt>
                <c:pt idx="19">
                  <c:v>الأسر المعيشية بصفتها صاحبة عمل</c:v>
                </c:pt>
                <c:pt idx="20">
                  <c:v>المنظمات والهيئات الدولية</c:v>
                </c:pt>
                <c:pt idx="21">
                  <c:v>غير محدد</c:v>
                </c:pt>
              </c:strCache>
            </c:strRef>
          </c:cat>
          <c:val>
            <c:numRef>
              <c:f>'التوطين حسب النشاط'!$E$5:$E$26</c:f>
              <c:numCache>
                <c:formatCode>0.0%</c:formatCode>
                <c:ptCount val="22"/>
                <c:pt idx="0">
                  <c:v>0.0947174339313413</c:v>
                </c:pt>
                <c:pt idx="1">
                  <c:v>0.563896225376912</c:v>
                </c:pt>
                <c:pt idx="2">
                  <c:v>0.258916501895738</c:v>
                </c:pt>
                <c:pt idx="3">
                  <c:v>0.694416589787814</c:v>
                </c:pt>
                <c:pt idx="4">
                  <c:v>0.204172029351296</c:v>
                </c:pt>
                <c:pt idx="5">
                  <c:v>0.127902002642005</c:v>
                </c:pt>
                <c:pt idx="6">
                  <c:v>0.22353721372087</c:v>
                </c:pt>
                <c:pt idx="7">
                  <c:v>0.193671715093887</c:v>
                </c:pt>
                <c:pt idx="8">
                  <c:v>0.192068440127492</c:v>
                </c:pt>
                <c:pt idx="9">
                  <c:v>0.551145836738697</c:v>
                </c:pt>
                <c:pt idx="10">
                  <c:v>0.830502463054187</c:v>
                </c:pt>
                <c:pt idx="11">
                  <c:v>0.386787295204839</c:v>
                </c:pt>
                <c:pt idx="12">
                  <c:v>0.489715774190178</c:v>
                </c:pt>
                <c:pt idx="13">
                  <c:v>0.15150697234659</c:v>
                </c:pt>
                <c:pt idx="14">
                  <c:v>0.809245573697398</c:v>
                </c:pt>
                <c:pt idx="15">
                  <c:v>0.384466139016353</c:v>
                </c:pt>
                <c:pt idx="16">
                  <c:v>0.511640968147842</c:v>
                </c:pt>
                <c:pt idx="17">
                  <c:v>0.370649331958071</c:v>
                </c:pt>
                <c:pt idx="18">
                  <c:v>0.156186742466017</c:v>
                </c:pt>
                <c:pt idx="19">
                  <c:v>0.458715596330275</c:v>
                </c:pt>
                <c:pt idx="20">
                  <c:v>0.704834605597964</c:v>
                </c:pt>
                <c:pt idx="21">
                  <c:v>0.0187952512547673</c:v>
                </c:pt>
              </c:numCache>
            </c:numRef>
          </c:val>
        </c:ser>
        <c:gapWidth val="150"/>
        <c:overlap val="0"/>
        <c:axId val="27938033"/>
        <c:axId val="1505292"/>
      </c:barChart>
      <c:catAx>
        <c:axId val="2793803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05292"/>
        <c:crosses val="autoZero"/>
        <c:auto val="1"/>
        <c:lblAlgn val="ctr"/>
        <c:lblOffset val="100"/>
        <c:noMultiLvlLbl val="0"/>
      </c:catAx>
      <c:valAx>
        <c:axId val="150529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93803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السعوديون وغير السعوديين (عدد المشتغلين)</a:t>
            </a:r>
          </a:p>
        </c:rich>
      </c:tx>
      <c:overlay val="0"/>
      <c:spPr>
        <a:noFill/>
        <a:ln w="0">
          <a:noFill/>
        </a:ln>
      </c:spPr>
    </c:title>
    <c:autoTitleDeleted val="0"/>
    <c:plotArea>
      <c:lineChart>
        <c:grouping val="standard"/>
        <c:varyColors val="0"/>
        <c:ser>
          <c:idx val="0"/>
          <c:order val="0"/>
          <c:tx>
            <c:strRef>
              <c:f>'الاتجاه الربعي'!C4</c:f>
              <c:strCache>
                <c:ptCount val="1"/>
                <c:pt idx="0">
                  <c:v>غير السعوديين</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'الاتجاه الربعي'!$A$5:$A$19</c:f>
              <c:strCache>
                <c:ptCount val="15"/>
                <c:pt idx="0">
                  <c:v>الربع الثاني 2021</c:v>
                </c:pt>
                <c:pt idx="1">
                  <c:v>الربع الثالث 2021</c:v>
                </c:pt>
                <c:pt idx="2">
                  <c:v>الربع الرابع 2021</c:v>
                </c:pt>
                <c:pt idx="3">
                  <c:v>الربع الأول 2022</c:v>
                </c:pt>
                <c:pt idx="4">
                  <c:v>الربع الثاني 2022</c:v>
                </c:pt>
                <c:pt idx="5">
                  <c:v>الربع الرابع 2022</c:v>
                </c:pt>
                <c:pt idx="6">
                  <c:v>الربع الأول 2023</c:v>
                </c:pt>
                <c:pt idx="7">
                  <c:v>الربع الثاني 2023</c:v>
                </c:pt>
                <c:pt idx="8">
                  <c:v>الربع الثالث 2023</c:v>
                </c:pt>
                <c:pt idx="9">
                  <c:v>الربع الرابع 2023</c:v>
                </c:pt>
                <c:pt idx="10">
                  <c:v>الربع الأول 2024</c:v>
                </c:pt>
                <c:pt idx="11">
                  <c:v>الربع الثاني 2024</c:v>
                </c:pt>
                <c:pt idx="12">
                  <c:v>الربع الثالث 2024</c:v>
                </c:pt>
                <c:pt idx="13">
                  <c:v>الربع الرابع 2024</c:v>
                </c:pt>
                <c:pt idx="14">
                  <c:v>الربع الأول 2025</c:v>
                </c:pt>
              </c:strCache>
            </c:strRef>
          </c:cat>
          <c:val>
            <c:numRef>
              <c:f>'الاتجاه الربعي'!$C$5:$C$19</c:f>
              <c:numCache>
                <c:formatCode>#,##0</c:formatCode>
                <c:ptCount val="15"/>
                <c:pt idx="0">
                  <c:v>6124832</c:v>
                </c:pt>
                <c:pt idx="1">
                  <c:v>6023077</c:v>
                </c:pt>
                <c:pt idx="2">
                  <c:v>6290496</c:v>
                </c:pt>
                <c:pt idx="3">
                  <c:v>6722989</c:v>
                </c:pt>
                <c:pt idx="4">
                  <c:v>7098669</c:v>
                </c:pt>
                <c:pt idx="5">
                  <c:v>7341623</c:v>
                </c:pt>
                <c:pt idx="6">
                  <c:v>7807847</c:v>
                </c:pt>
                <c:pt idx="7">
                  <c:v>7863882</c:v>
                </c:pt>
                <c:pt idx="8">
                  <c:v>8116191</c:v>
                </c:pt>
                <c:pt idx="9">
                  <c:v>8104303</c:v>
                </c:pt>
                <c:pt idx="10">
                  <c:v>8622747</c:v>
                </c:pt>
                <c:pt idx="11">
                  <c:v>8934343</c:v>
                </c:pt>
                <c:pt idx="12">
                  <c:v>9178419</c:v>
                </c:pt>
                <c:pt idx="13">
                  <c:v>9544713</c:v>
                </c:pt>
                <c:pt idx="14">
                  <c:v>9882887</c:v>
                </c:pt>
              </c:numCache>
            </c:numRef>
          </c:val>
          <c:smooth val="1"/>
        </c:ser>
        <c:ser>
          <c:idx val="1"/>
          <c:order val="1"/>
          <c:tx>
            <c:strRef>
              <c:f>'الاتجاه الربعي'!D4</c:f>
              <c:strCache>
                <c:ptCount val="1"/>
                <c:pt idx="0">
                  <c:v>السعوديون</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'الاتجاه الربعي'!$A$5:$A$19</c:f>
              <c:strCache>
                <c:ptCount val="15"/>
                <c:pt idx="0">
                  <c:v>الربع الثاني 2021</c:v>
                </c:pt>
                <c:pt idx="1">
                  <c:v>الربع الثالث 2021</c:v>
                </c:pt>
                <c:pt idx="2">
                  <c:v>الربع الرابع 2021</c:v>
                </c:pt>
                <c:pt idx="3">
                  <c:v>الربع الأول 2022</c:v>
                </c:pt>
                <c:pt idx="4">
                  <c:v>الربع الثاني 2022</c:v>
                </c:pt>
                <c:pt idx="5">
                  <c:v>الربع الرابع 2022</c:v>
                </c:pt>
                <c:pt idx="6">
                  <c:v>الربع الأول 2023</c:v>
                </c:pt>
                <c:pt idx="7">
                  <c:v>الربع الثاني 2023</c:v>
                </c:pt>
                <c:pt idx="8">
                  <c:v>الربع الثالث 2023</c:v>
                </c:pt>
                <c:pt idx="9">
                  <c:v>الربع الرابع 2023</c:v>
                </c:pt>
                <c:pt idx="10">
                  <c:v>الربع الأول 2024</c:v>
                </c:pt>
                <c:pt idx="11">
                  <c:v>الربع الثاني 2024</c:v>
                </c:pt>
                <c:pt idx="12">
                  <c:v>الربع الثالث 2024</c:v>
                </c:pt>
                <c:pt idx="13">
                  <c:v>الربع الرابع 2024</c:v>
                </c:pt>
                <c:pt idx="14">
                  <c:v>الربع الأول 2025</c:v>
                </c:pt>
              </c:strCache>
            </c:strRef>
          </c:cat>
          <c:val>
            <c:numRef>
              <c:f>'الاتجاه الربعي'!$D$5:$D$19</c:f>
              <c:numCache>
                <c:formatCode>#,##0</c:formatCode>
                <c:ptCount val="15"/>
                <c:pt idx="0">
                  <c:v>2065338</c:v>
                </c:pt>
                <c:pt idx="1">
                  <c:v>2135308</c:v>
                </c:pt>
                <c:pt idx="2">
                  <c:v>2240812</c:v>
                </c:pt>
                <c:pt idx="3">
                  <c:v>2373490</c:v>
                </c:pt>
                <c:pt idx="4">
                  <c:v>2442953</c:v>
                </c:pt>
                <c:pt idx="5">
                  <c:v>2581415</c:v>
                </c:pt>
                <c:pt idx="6">
                  <c:v>2631188</c:v>
                </c:pt>
                <c:pt idx="7">
                  <c:v>2631204</c:v>
                </c:pt>
                <c:pt idx="8">
                  <c:v>2696797</c:v>
                </c:pt>
                <c:pt idx="9">
                  <c:v>2738430</c:v>
                </c:pt>
                <c:pt idx="10">
                  <c:v>2770685</c:v>
                </c:pt>
                <c:pt idx="11">
                  <c:v>2772420</c:v>
                </c:pt>
                <c:pt idx="12">
                  <c:v>2830239</c:v>
                </c:pt>
                <c:pt idx="13">
                  <c:v>2893772</c:v>
                </c:pt>
                <c:pt idx="14">
                  <c:v>2915900</c:v>
                </c:pt>
              </c:numCache>
            </c:numRef>
          </c:val>
          <c:smooth val="1"/>
        </c:ser>
        <c:hiLowLines>
          <c:spPr>
            <a:ln w="0">
              <a:noFill/>
            </a:ln>
          </c:spPr>
        </c:hiLowLines>
        <c:marker val="0"/>
        <c:axId val="22750146"/>
        <c:axId val="46175456"/>
      </c:lineChart>
      <c:catAx>
        <c:axId val="2275014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175456"/>
        <c:crosses val="autoZero"/>
        <c:auto val="1"/>
        <c:lblAlgn val="ctr"/>
        <c:lblOffset val="100"/>
        <c:noMultiLvlLbl val="0"/>
      </c:catAx>
      <c:valAx>
        <c:axId val="4617545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75014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نسبة التوطين</a:t>
            </a:r>
          </a:p>
        </c:rich>
      </c:tx>
      <c:overlay val="0"/>
      <c:spPr>
        <a:noFill/>
        <a:ln w="0">
          <a:noFill/>
        </a:ln>
      </c:spPr>
    </c:title>
    <c:autoTitleDeleted val="0"/>
    <c:plotArea>
      <c:lineChart>
        <c:grouping val="standard"/>
        <c:varyColors val="0"/>
        <c:ser>
          <c:idx val="0"/>
          <c:order val="0"/>
          <c:tx>
            <c:strRef>
              <c:f>'الاتجاه الربعي'!E4</c:f>
              <c:strCache>
                <c:ptCount val="1"/>
                <c:pt idx="0">
                  <c:v>نسبة التوطين</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'الاتجاه الربعي'!$A$5:$A$19</c:f>
              <c:strCache>
                <c:ptCount val="15"/>
                <c:pt idx="0">
                  <c:v>الربع الثاني 2021</c:v>
                </c:pt>
                <c:pt idx="1">
                  <c:v>الربع الثالث 2021</c:v>
                </c:pt>
                <c:pt idx="2">
                  <c:v>الربع الرابع 2021</c:v>
                </c:pt>
                <c:pt idx="3">
                  <c:v>الربع الأول 2022</c:v>
                </c:pt>
                <c:pt idx="4">
                  <c:v>الربع الثاني 2022</c:v>
                </c:pt>
                <c:pt idx="5">
                  <c:v>الربع الرابع 2022</c:v>
                </c:pt>
                <c:pt idx="6">
                  <c:v>الربع الأول 2023</c:v>
                </c:pt>
                <c:pt idx="7">
                  <c:v>الربع الثاني 2023</c:v>
                </c:pt>
                <c:pt idx="8">
                  <c:v>الربع الثالث 2023</c:v>
                </c:pt>
                <c:pt idx="9">
                  <c:v>الربع الرابع 2023</c:v>
                </c:pt>
                <c:pt idx="10">
                  <c:v>الربع الأول 2024</c:v>
                </c:pt>
                <c:pt idx="11">
                  <c:v>الربع الثاني 2024</c:v>
                </c:pt>
                <c:pt idx="12">
                  <c:v>الربع الثالث 2024</c:v>
                </c:pt>
                <c:pt idx="13">
                  <c:v>الربع الرابع 2024</c:v>
                </c:pt>
                <c:pt idx="14">
                  <c:v>الربع الأول 2025</c:v>
                </c:pt>
              </c:strCache>
            </c:strRef>
          </c:cat>
          <c:val>
            <c:numRef>
              <c:f>'الاتجاه الربعي'!$E$5:$E$19</c:f>
              <c:numCache>
                <c:formatCode>0.0%</c:formatCode>
                <c:ptCount val="15"/>
                <c:pt idx="0">
                  <c:v>0.252172787622235</c:v>
                </c:pt>
                <c:pt idx="1">
                  <c:v>0.261731703027008</c:v>
                </c:pt>
                <c:pt idx="2">
                  <c:v>0.262657496365153</c:v>
                </c:pt>
                <c:pt idx="3">
                  <c:v>0.260924034453331</c:v>
                </c:pt>
                <c:pt idx="4">
                  <c:v>0.256031207272726</c:v>
                </c:pt>
                <c:pt idx="5">
                  <c:v>0.260143617307522</c:v>
                </c:pt>
                <c:pt idx="6">
                  <c:v>0.252052799899608</c:v>
                </c:pt>
                <c:pt idx="7">
                  <c:v>0.25070818857511</c:v>
                </c:pt>
                <c:pt idx="8">
                  <c:v>0.249403495130116</c:v>
                </c:pt>
                <c:pt idx="9">
                  <c:v>0.252559018099957</c:v>
                </c:pt>
                <c:pt idx="10">
                  <c:v>0.243182651197637</c:v>
                </c:pt>
                <c:pt idx="11">
                  <c:v>0.236822083098462</c:v>
                </c:pt>
                <c:pt idx="12">
                  <c:v>0.235683204567904</c:v>
                </c:pt>
                <c:pt idx="13">
                  <c:v>0.232646660746868</c:v>
                </c:pt>
                <c:pt idx="14">
                  <c:v>0.227826277599588</c:v>
                </c:pt>
              </c:numCache>
            </c:numRef>
          </c:val>
          <c:smooth val="1"/>
        </c:ser>
        <c:hiLowLines>
          <c:spPr>
            <a:ln w="0">
              <a:noFill/>
            </a:ln>
          </c:spPr>
        </c:hiLowLines>
        <c:marker val="0"/>
        <c:axId val="83240853"/>
        <c:axId val="94706303"/>
      </c:lineChart>
      <c:catAx>
        <c:axId val="8324085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706303"/>
        <c:crosses val="autoZero"/>
        <c:auto val="1"/>
        <c:lblAlgn val="ctr"/>
        <c:lblOffset val="100"/>
        <c:noMultiLvlLbl val="0"/>
      </c:catAx>
      <c:valAx>
        <c:axId val="9470630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24085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-1011960</xdr:colOff>
      <xdr:row>29</xdr:row>
      <xdr:rowOff>144360</xdr:rowOff>
    </xdr:from>
    <xdr:to>
      <xdr:col>5</xdr:col>
      <xdr:colOff>0</xdr:colOff>
      <xdr:row>56</xdr:row>
      <xdr:rowOff>40320</xdr:rowOff>
    </xdr:to>
    <xdr:graphicFrame>
      <xdr:nvGraphicFramePr>
        <xdr:cNvPr id="0" name="Chart 1"/>
        <xdr:cNvGraphicFramePr/>
      </xdr:nvGraphicFramePr>
      <xdr:xfrm>
        <a:off x="-7919640" y="6105600"/>
        <a:ext cx="79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-364320</xdr:colOff>
      <xdr:row>2</xdr:row>
      <xdr:rowOff>131040</xdr:rowOff>
    </xdr:from>
    <xdr:to>
      <xdr:col>17</xdr:col>
      <xdr:colOff>0</xdr:colOff>
      <xdr:row>18</xdr:row>
      <xdr:rowOff>84600</xdr:rowOff>
    </xdr:to>
    <xdr:graphicFrame>
      <xdr:nvGraphicFramePr>
        <xdr:cNvPr id="1" name="Chart 1"/>
        <xdr:cNvGraphicFramePr/>
      </xdr:nvGraphicFramePr>
      <xdr:xfrm>
        <a:off x="-14280480" y="571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-364320</xdr:colOff>
      <xdr:row>22</xdr:row>
      <xdr:rowOff>130680</xdr:rowOff>
    </xdr:from>
    <xdr:to>
      <xdr:col>17</xdr:col>
      <xdr:colOff>0</xdr:colOff>
      <xdr:row>39</xdr:row>
      <xdr:rowOff>131760</xdr:rowOff>
    </xdr:to>
    <xdr:graphicFrame>
      <xdr:nvGraphicFramePr>
        <xdr:cNvPr id="2" name="Chart 2"/>
        <xdr:cNvGraphicFramePr/>
      </xdr:nvGraphicFramePr>
      <xdr:xfrm>
        <a:off x="-14280480" y="461952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hyperlink" Target="https://gulfmigration.grc.net/saudi-arabia-saudi-employed-population-by-main-group-of-economic-activities-q1-2021-q1-2025-2/" TargetMode="External"/><Relationship Id="rId2" Type="http://schemas.openxmlformats.org/officeDocument/2006/relationships/hyperlink" Target="https://gulfmigration.grc.net/saudi-arabia-non-saudi-employed-population-by-main-group-of-economic-activities-q1-2021-q3-202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3" min="3" style="0" width="16"/>
    <col collapsed="false" customWidth="true" hidden="false" outlineLevel="0" max="5" min="4" style="0" width="18"/>
  </cols>
  <sheetData>
    <row r="1" customFormat="false" ht="18.65" hidden="false" customHeight="false" outlineLevel="0" collapsed="false">
      <c r="A1" s="1" t="s">
        <v>0</v>
      </c>
    </row>
    <row r="2" customFormat="false" ht="15" hidden="false" customHeight="false" outlineLevel="0" collapsed="false">
      <c r="A2" s="2" t="s">
        <v>1</v>
      </c>
    </row>
    <row r="4" customFormat="false" ht="43.5" hidden="false" customHeight="true" outlineLevel="0" collapsed="false">
      <c r="A4" s="3" t="s">
        <v>2</v>
      </c>
      <c r="B4" s="3" t="s">
        <v>3</v>
      </c>
      <c r="C4" s="3" t="s">
        <v>4</v>
      </c>
      <c r="D4" s="3" t="s">
        <v>5</v>
      </c>
      <c r="E4" s="3" t="s">
        <v>6</v>
      </c>
    </row>
    <row r="5" customFormat="false" ht="33.75" hidden="false" customHeight="true" outlineLevel="0" collapsed="false">
      <c r="A5" s="4" t="n">
        <f aca="false">'التوطين حسب النشاط'!B27</f>
        <v>12798787</v>
      </c>
      <c r="B5" s="4" t="n">
        <f aca="false">'التوطين حسب النشاط'!D27</f>
        <v>2915900</v>
      </c>
      <c r="C5" s="5" t="n">
        <f aca="false">'التوطين حسب النشاط'!E27</f>
        <v>0.227826277599588</v>
      </c>
      <c r="D5" s="6" t="n">
        <f aca="false">'التوطين حسب النشاط'!J27</f>
        <v>-2.43465100226468</v>
      </c>
      <c r="E5" s="5" t="n">
        <f aca="false">'التوطين حسب النشاط'!H27</f>
        <v>0.411827022986068</v>
      </c>
    </row>
    <row r="8" customFormat="false" ht="15" hidden="false" customHeight="false" outlineLevel="0" collapsed="false">
      <c r="A8" s="7" t="s">
        <v>7</v>
      </c>
    </row>
    <row r="9" customFormat="false" ht="21.75" hidden="false" customHeight="true" outlineLevel="0" collapsed="false">
      <c r="A9" s="8" t="s">
        <v>8</v>
      </c>
      <c r="B9" s="8" t="s">
        <v>9</v>
      </c>
      <c r="C9" s="8" t="s">
        <v>4</v>
      </c>
      <c r="D9" s="8" t="s">
        <v>10</v>
      </c>
      <c r="E9" s="8" t="s">
        <v>11</v>
      </c>
    </row>
    <row r="10" customFormat="false" ht="15" hidden="false" customHeight="false" outlineLevel="0" collapsed="false">
      <c r="A10" s="9" t="n">
        <v>1</v>
      </c>
      <c r="B10" s="9" t="str">
        <f aca="false">INDEX('التوطين حسب النشاط'!$A$5:$A$26,MATCH(LARGE('التوطين حسب النشاط'!$L$5:$L$26,1),'التوطين حسب النشاط'!$L$5:$L$26,0))</f>
        <v>الأنشطة المالية والتأمين</v>
      </c>
      <c r="C10" s="10" t="n">
        <f aca="false">INDEX('التوطين حسب النشاط'!$E$5:$E$26,MATCH(LARGE('التوطين حسب النشاط'!$L$5:$L$26,1),'التوطين حسب النشاط'!$L$5:$L$26,0))</f>
        <v>0.830502463054187</v>
      </c>
      <c r="D10" s="11" t="n">
        <f aca="false">INDEX('التوطين حسب النشاط'!$D$5:$D$26,MATCH(LARGE('التوطين حسب النشاط'!$L$5:$L$26,1),'التوطين حسب النشاط'!$L$5:$L$26,0))</f>
        <v>84296</v>
      </c>
      <c r="E10" s="11" t="n">
        <f aca="false">INDEX('التوطين حسب النشاط'!$B$5:$B$26,MATCH(LARGE('التوطين حسب النشاط'!$L$5:$L$26,1),'التوطين حسب النشاط'!$L$5:$L$26,0))</f>
        <v>101500</v>
      </c>
    </row>
    <row r="11" customFormat="false" ht="15" hidden="false" customHeight="false" outlineLevel="0" collapsed="false">
      <c r="A11" s="9" t="n">
        <v>2</v>
      </c>
      <c r="B11" s="9" t="str">
        <f aca="false">INDEX('التوطين حسب النشاط'!$A$5:$A$26,MATCH(LARGE('التوطين حسب النشاط'!$L$5:$L$26,2),'التوطين حسب النشاط'!$L$5:$L$26,0))</f>
        <v>الإدارة العامة والدفاع والضمان الاجتماعي</v>
      </c>
      <c r="C11" s="10" t="n">
        <f aca="false">INDEX('التوطين حسب النشاط'!$E$5:$E$26,MATCH(LARGE('التوطين حسب النشاط'!$L$5:$L$26,2),'التوطين حسب النشاط'!$L$5:$L$26,0))</f>
        <v>0.809245573697398</v>
      </c>
      <c r="D11" s="11" t="n">
        <f aca="false">INDEX('التوطين حسب النشاط'!$D$5:$D$26,MATCH(LARGE('التوطين حسب النشاط'!$L$5:$L$26,2),'التوطين حسب النشاط'!$L$5:$L$26,0))</f>
        <v>243205</v>
      </c>
      <c r="E11" s="11" t="n">
        <f aca="false">INDEX('التوطين حسب النشاط'!$B$5:$B$26,MATCH(LARGE('التوطين حسب النشاط'!$L$5:$L$26,2),'التوطين حسب النشاط'!$L$5:$L$26,0))</f>
        <v>300533</v>
      </c>
    </row>
    <row r="12" customFormat="false" ht="15" hidden="false" customHeight="false" outlineLevel="0" collapsed="false">
      <c r="A12" s="9" t="n">
        <v>3</v>
      </c>
      <c r="B12" s="9" t="str">
        <f aca="false">INDEX('التوطين حسب النشاط'!$A$5:$A$26,MATCH(LARGE('التوطين حسب النشاط'!$L$5:$L$26,3),'التوطين حسب النشاط'!$L$5:$L$26,0))</f>
        <v>التعدين واستغلال المحاجر</v>
      </c>
      <c r="C12" s="10" t="n">
        <f aca="false">INDEX('التوطين حسب النشاط'!$E$5:$E$26,MATCH(LARGE('التوطين حسب النشاط'!$L$5:$L$26,3),'التوطين حسب النشاط'!$L$5:$L$26,0))</f>
        <v>0.563896225376912</v>
      </c>
      <c r="D12" s="11" t="n">
        <f aca="false">INDEX('التوطين حسب النشاط'!$D$5:$D$26,MATCH(LARGE('التوطين حسب النشاط'!$L$5:$L$26,3),'التوطين حسب النشاط'!$L$5:$L$26,0))</f>
        <v>122979</v>
      </c>
      <c r="E12" s="11" t="n">
        <f aca="false">INDEX('التوطين حسب النشاط'!$B$5:$B$26,MATCH(LARGE('التوطين حسب النشاط'!$L$5:$L$26,3),'التوطين حسب النشاط'!$L$5:$L$26,0))</f>
        <v>218088</v>
      </c>
    </row>
    <row r="13" customFormat="false" ht="15" hidden="false" customHeight="false" outlineLevel="0" collapsed="false">
      <c r="A13" s="9" t="n">
        <v>4</v>
      </c>
      <c r="B13" s="9" t="str">
        <f aca="false">INDEX('التوطين حسب النشاط'!$A$5:$A$26,MATCH(LARGE('التوطين حسب النشاط'!$L$5:$L$26,4),'التوطين حسب النشاط'!$L$5:$L$26,0))</f>
        <v>المعلومات والاتصالات</v>
      </c>
      <c r="C13" s="10" t="n">
        <f aca="false">INDEX('التوطين حسب النشاط'!$E$5:$E$26,MATCH(LARGE('التوطين حسب النشاط'!$L$5:$L$26,4),'التوطين حسب النشاط'!$L$5:$L$26,0))</f>
        <v>0.551145836738697</v>
      </c>
      <c r="D13" s="11" t="n">
        <f aca="false">INDEX('التوطين حسب النشاط'!$D$5:$D$26,MATCH(LARGE('التوطين حسب النشاط'!$L$5:$L$26,4),'التوطين حسب النشاط'!$L$5:$L$26,0))</f>
        <v>67436</v>
      </c>
      <c r="E13" s="11" t="n">
        <f aca="false">INDEX('التوطين حسب النشاط'!$B$5:$B$26,MATCH(LARGE('التوطين حسب النشاط'!$L$5:$L$26,4),'التوطين حسب النشاط'!$L$5:$L$26,0))</f>
        <v>122356</v>
      </c>
    </row>
    <row r="14" customFormat="false" ht="15" hidden="false" customHeight="false" outlineLevel="0" collapsed="false">
      <c r="A14" s="9" t="n">
        <v>5</v>
      </c>
      <c r="B14" s="9" t="str">
        <f aca="false">INDEX('التوطين حسب النشاط'!$A$5:$A$26,MATCH(LARGE('التوطين حسب النشاط'!$L$5:$L$26,5),'التوطين حسب النشاط'!$L$5:$L$26,0))</f>
        <v>الصحة البشرية والعمل الاجتماعي</v>
      </c>
      <c r="C14" s="10" t="n">
        <f aca="false">INDEX('التوطين حسب النشاط'!$E$5:$E$26,MATCH(LARGE('التوطين حسب النشاط'!$L$5:$L$26,5),'التوطين حسب النشاط'!$L$5:$L$26,0))</f>
        <v>0.511640968147842</v>
      </c>
      <c r="D14" s="11" t="n">
        <f aca="false">INDEX('التوطين حسب النشاط'!$D$5:$D$26,MATCH(LARGE('التوطين حسب النشاط'!$L$5:$L$26,5),'التوطين حسب النشاط'!$L$5:$L$26,0))</f>
        <v>238680</v>
      </c>
      <c r="E14" s="11" t="n">
        <f aca="false">INDEX('التوطين حسب النشاط'!$B$5:$B$26,MATCH(LARGE('التوطين حسب النشاط'!$L$5:$L$26,5),'التوطين حسب النشاط'!$L$5:$L$26,0))</f>
        <v>466499</v>
      </c>
    </row>
    <row r="16" customFormat="false" ht="15" hidden="false" customHeight="false" outlineLevel="0" collapsed="false">
      <c r="A16" s="7" t="s">
        <v>12</v>
      </c>
    </row>
    <row r="17" customFormat="false" ht="21.75" hidden="false" customHeight="true" outlineLevel="0" collapsed="false">
      <c r="A17" s="8" t="s">
        <v>8</v>
      </c>
      <c r="B17" s="8" t="s">
        <v>9</v>
      </c>
      <c r="C17" s="8" t="s">
        <v>4</v>
      </c>
      <c r="D17" s="8" t="s">
        <v>10</v>
      </c>
      <c r="E17" s="8" t="s">
        <v>11</v>
      </c>
    </row>
    <row r="18" customFormat="false" ht="15" hidden="false" customHeight="false" outlineLevel="0" collapsed="false">
      <c r="A18" s="12" t="n">
        <v>1</v>
      </c>
      <c r="B18" s="12" t="str">
        <f aca="false">INDEX('التوطين حسب النشاط'!$A$5:$A$26,MATCH(SMALL('التوطين حسب النشاط'!$L$5:$L$26,1),'التوطين حسب النشاط'!$L$5:$L$26,0))</f>
        <v>الزراعة والحراجة وصيد الأسماك</v>
      </c>
      <c r="C18" s="13" t="n">
        <f aca="false">INDEX('التوطين حسب النشاط'!$E$5:$E$26,MATCH(SMALL('التوطين حسب النشاط'!$L$5:$L$26,1),'التوطين حسب النشاط'!$L$5:$L$26,0))</f>
        <v>0.0947174339313413</v>
      </c>
      <c r="D18" s="14" t="n">
        <f aca="false">INDEX('التوطين حسب النشاط'!$D$5:$D$26,MATCH(SMALL('التوطين حسب النشاط'!$L$5:$L$26,1),'التوطين حسب النشاط'!$L$5:$L$26,0))</f>
        <v>32364</v>
      </c>
      <c r="E18" s="14" t="n">
        <f aca="false">INDEX('التوطين حسب النشاط'!$B$5:$B$26,MATCH(SMALL('التوطين حسب النشاط'!$L$5:$L$26,1),'التوطين حسب النشاط'!$L$5:$L$26,0))</f>
        <v>341690</v>
      </c>
    </row>
    <row r="19" customFormat="false" ht="15" hidden="false" customHeight="false" outlineLevel="0" collapsed="false">
      <c r="A19" s="12" t="n">
        <v>2</v>
      </c>
      <c r="B19" s="12" t="str">
        <f aca="false">INDEX('التوطين حسب النشاط'!$A$5:$A$26,MATCH(SMALL('التوطين حسب النشاط'!$L$5:$L$26,2),'التوطين حسب النشاط'!$L$5:$L$26,0))</f>
        <v>التشييد</v>
      </c>
      <c r="C19" s="13" t="n">
        <f aca="false">INDEX('التوطين حسب النشاط'!$E$5:$E$26,MATCH(SMALL('التوطين حسب النشاط'!$L$5:$L$26,2),'التوطين حسب النشاط'!$L$5:$L$26,0))</f>
        <v>0.127902002642005</v>
      </c>
      <c r="D19" s="14" t="n">
        <f aca="false">INDEX('التوطين حسب النشاط'!$D$5:$D$26,MATCH(SMALL('التوطين حسب النشاط'!$L$5:$L$26,2),'التوطين حسب النشاط'!$L$5:$L$26,0))</f>
        <v>434440</v>
      </c>
      <c r="E19" s="14" t="n">
        <f aca="false">INDEX('التوطين حسب النشاط'!$B$5:$B$26,MATCH(SMALL('التوطين حسب النشاط'!$L$5:$L$26,2),'التوطين حسب النشاط'!$L$5:$L$26,0))</f>
        <v>3396663</v>
      </c>
    </row>
    <row r="20" customFormat="false" ht="15" hidden="false" customHeight="false" outlineLevel="0" collapsed="false">
      <c r="A20" s="12" t="n">
        <v>3</v>
      </c>
      <c r="B20" s="12" t="str">
        <f aca="false">INDEX('التوطين حسب النشاط'!$A$5:$A$26,MATCH(SMALL('التوطين حسب النشاط'!$L$5:$L$26,3),'التوطين حسب النشاط'!$L$5:$L$26,0))</f>
        <v>الخدمات الإدارية وخدمات الدعم</v>
      </c>
      <c r="C20" s="13" t="n">
        <f aca="false">INDEX('التوطين حسب النشاط'!$E$5:$E$26,MATCH(SMALL('التوطين حسب النشاط'!$L$5:$L$26,3),'التوطين حسب النشاط'!$L$5:$L$26,0))</f>
        <v>0.15150697234659</v>
      </c>
      <c r="D20" s="14" t="n">
        <f aca="false">INDEX('التوطين حسب النشاط'!$D$5:$D$26,MATCH(SMALL('التوطين حسب النشاط'!$L$5:$L$26,3),'التوطين حسب النشاط'!$L$5:$L$26,0))</f>
        <v>191971</v>
      </c>
      <c r="E20" s="14" t="n">
        <f aca="false">INDEX('التوطين حسب النشاط'!$B$5:$B$26,MATCH(SMALL('التوطين حسب النشاط'!$L$5:$L$26,3),'التوطين حسب النشاط'!$L$5:$L$26,0))</f>
        <v>1267077</v>
      </c>
    </row>
    <row r="21" customFormat="false" ht="15" hidden="false" customHeight="false" outlineLevel="0" collapsed="false">
      <c r="A21" s="12" t="n">
        <v>4</v>
      </c>
      <c r="B21" s="12" t="str">
        <f aca="false">INDEX('التوطين حسب النشاط'!$A$5:$A$26,MATCH(SMALL('التوطين حسب النشاط'!$L$5:$L$26,4),'التوطين حسب النشاط'!$L$5:$L$26,0))</f>
        <v>أنشطة الخدمات الأخرى</v>
      </c>
      <c r="C21" s="13" t="n">
        <f aca="false">INDEX('التوطين حسب النشاط'!$E$5:$E$26,MATCH(SMALL('التوطين حسب النشاط'!$L$5:$L$26,4),'التوطين حسب النشاط'!$L$5:$L$26,0))</f>
        <v>0.156186742466017</v>
      </c>
      <c r="D21" s="14" t="n">
        <f aca="false">INDEX('التوطين حسب النشاط'!$D$5:$D$26,MATCH(SMALL('التوطين حسب النشاط'!$L$5:$L$26,4),'التوطين حسب النشاط'!$L$5:$L$26,0))</f>
        <v>43903</v>
      </c>
      <c r="E21" s="14" t="n">
        <f aca="false">INDEX('التوطين حسب النشاط'!$B$5:$B$26,MATCH(SMALL('التوطين حسب النشاط'!$L$5:$L$26,4),'التوطين حسب النشاط'!$L$5:$L$26,0))</f>
        <v>281093</v>
      </c>
    </row>
    <row r="22" customFormat="false" ht="15" hidden="false" customHeight="false" outlineLevel="0" collapsed="false">
      <c r="A22" s="12" t="n">
        <v>5</v>
      </c>
      <c r="B22" s="12" t="str">
        <f aca="false">INDEX('التوطين حسب النشاط'!$A$5:$A$26,MATCH(SMALL('التوطين حسب النشاط'!$L$5:$L$26,5),'التوطين حسب النشاط'!$L$5:$L$26,0))</f>
        <v>الإقامة وخدمات الطعام</v>
      </c>
      <c r="C22" s="13" t="n">
        <f aca="false">INDEX('التوطين حسب النشاط'!$E$5:$E$26,MATCH(SMALL('التوطين حسب النشاط'!$L$5:$L$26,5),'التوطين حسب النشاط'!$L$5:$L$26,0))</f>
        <v>0.192068440127492</v>
      </c>
      <c r="D22" s="14" t="n">
        <f aca="false">INDEX('التوطين حسب النشاط'!$D$5:$D$26,MATCH(SMALL('التوطين حسب النشاط'!$L$5:$L$26,5),'التوطين حسب النشاط'!$L$5:$L$26,0))</f>
        <v>137153</v>
      </c>
      <c r="E22" s="14" t="n">
        <f aca="false">INDEX('التوطين حسب النشاط'!$B$5:$B$26,MATCH(SMALL('التوطين حسب النشاط'!$L$5:$L$26,5),'التوطين حسب النشاط'!$L$5:$L$26,0))</f>
        <v>714084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10" min="2" style="0" width="15"/>
  </cols>
  <sheetData>
    <row r="1" customFormat="false" ht="18.65" hidden="false" customHeight="false" outlineLevel="0" collapsed="false">
      <c r="A1" s="1" t="s">
        <v>13</v>
      </c>
    </row>
    <row r="2" customFormat="false" ht="15" hidden="false" customHeight="false" outlineLevel="0" collapsed="false">
      <c r="A2" s="2" t="s">
        <v>1</v>
      </c>
    </row>
    <row r="4" customFormat="false" ht="45.75" hidden="false" customHeight="true" outlineLevel="0" collapsed="false">
      <c r="A4" s="8" t="s">
        <v>9</v>
      </c>
      <c r="B4" s="8" t="s">
        <v>11</v>
      </c>
      <c r="C4" s="8" t="s">
        <v>14</v>
      </c>
      <c r="D4" s="8" t="s">
        <v>3</v>
      </c>
      <c r="E4" s="8" t="s">
        <v>4</v>
      </c>
      <c r="F4" s="8" t="s">
        <v>15</v>
      </c>
      <c r="G4" s="8" t="s">
        <v>16</v>
      </c>
      <c r="H4" s="8" t="s">
        <v>17</v>
      </c>
      <c r="I4" s="8" t="s">
        <v>18</v>
      </c>
      <c r="J4" s="8" t="s">
        <v>19</v>
      </c>
      <c r="L4" s="15" t="s">
        <v>20</v>
      </c>
    </row>
    <row r="5" customFormat="false" ht="15" hidden="false" customHeight="false" outlineLevel="0" collapsed="false">
      <c r="A5" s="16" t="s">
        <v>21</v>
      </c>
      <c r="B5" s="17" t="n">
        <f aca="false">'إجمالي المشتغلين'!Q5</f>
        <v>341690</v>
      </c>
      <c r="C5" s="17" t="n">
        <f aca="false">'المشتغلون غير السعوديين'!Q5</f>
        <v>309326</v>
      </c>
      <c r="D5" s="18" t="n">
        <f aca="false">B5-C5</f>
        <v>32364</v>
      </c>
      <c r="E5" s="19" t="n">
        <f aca="false">IFERROR(D5/B5,0)</f>
        <v>0.0947174339313413</v>
      </c>
      <c r="F5" s="19" t="n">
        <f aca="false">IFERROR(B5/$B$27,0)</f>
        <v>0.0266970612136916</v>
      </c>
      <c r="G5" s="18" t="n">
        <f aca="false">'إجمالي المشتغلين'!B5-'المشتغلون غير السعوديين'!B5</f>
        <v>16266</v>
      </c>
      <c r="H5" s="19" t="n">
        <f aca="false">IFERROR(D5/G5-1,"")</f>
        <v>0.989671707856879</v>
      </c>
      <c r="I5" s="19" t="n">
        <f aca="false">IFERROR(G5/'إجمالي المشتغلين'!B5,0)</f>
        <v>0.156966813668253</v>
      </c>
      <c r="J5" s="20" t="n">
        <f aca="false">(E5-I5)*100</f>
        <v>-6.22493797369112</v>
      </c>
      <c r="L5" s="21" t="n">
        <f aca="false">IF(AND(B5&gt;=50000,A5&lt;&gt;"غير محدد"),E5+ROW()/10^9,"")</f>
        <v>0.0947174389313413</v>
      </c>
    </row>
    <row r="6" customFormat="false" ht="15" hidden="false" customHeight="false" outlineLevel="0" collapsed="false">
      <c r="A6" s="16" t="s">
        <v>22</v>
      </c>
      <c r="B6" s="17" t="n">
        <f aca="false">'إجمالي المشتغلين'!Q6</f>
        <v>218088</v>
      </c>
      <c r="C6" s="17" t="n">
        <f aca="false">'المشتغلون غير السعوديين'!Q6</f>
        <v>95109</v>
      </c>
      <c r="D6" s="18" t="n">
        <f aca="false">B6-C6</f>
        <v>122979</v>
      </c>
      <c r="E6" s="19" t="n">
        <f aca="false">IFERROR(D6/B6,0)</f>
        <v>0.563896225376912</v>
      </c>
      <c r="F6" s="19" t="n">
        <f aca="false">IFERROR(B6/$B$27,0)</f>
        <v>0.0170397397815902</v>
      </c>
      <c r="G6" s="18" t="n">
        <f aca="false">'إجمالي المشتغلين'!B6-'المشتغلون غير السعوديين'!B6</f>
        <v>111003</v>
      </c>
      <c r="H6" s="19" t="n">
        <f aca="false">IFERROR(D6/G6-1,"")</f>
        <v>0.107888975973622</v>
      </c>
      <c r="I6" s="19" t="n">
        <f aca="false">IFERROR(G6/'إجمالي المشتغلين'!B6,0)</f>
        <v>0.640783928880679</v>
      </c>
      <c r="J6" s="20" t="n">
        <f aca="false">(E6-I6)*100</f>
        <v>-7.68877035037668</v>
      </c>
      <c r="L6" s="21" t="n">
        <f aca="false">IF(AND(B6&gt;=50000,A6&lt;&gt;"غير محدد"),E6+ROW()/10^9,"")</f>
        <v>0.563896231376912</v>
      </c>
    </row>
    <row r="7" customFormat="false" ht="15" hidden="false" customHeight="false" outlineLevel="0" collapsed="false">
      <c r="A7" s="16" t="s">
        <v>23</v>
      </c>
      <c r="B7" s="17" t="n">
        <f aca="false">'إجمالي المشتغلين'!Q7</f>
        <v>1576431</v>
      </c>
      <c r="C7" s="17" t="n">
        <f aca="false">'المشتغلون غير السعوديين'!Q7</f>
        <v>1168267</v>
      </c>
      <c r="D7" s="18" t="n">
        <f aca="false">B7-C7</f>
        <v>408164</v>
      </c>
      <c r="E7" s="19" t="n">
        <f aca="false">IFERROR(D7/B7,0)</f>
        <v>0.258916501895738</v>
      </c>
      <c r="F7" s="19" t="n">
        <f aca="false">IFERROR(B7/$B$27,0)</f>
        <v>0.123170344189649</v>
      </c>
      <c r="G7" s="18" t="n">
        <f aca="false">'إجمالي المشتغلين'!B7-'المشتغلون غير السعوديين'!B7</f>
        <v>213760</v>
      </c>
      <c r="H7" s="19" t="n">
        <f aca="false">IFERROR(D7/G7-1,"")</f>
        <v>0.909449850299401</v>
      </c>
      <c r="I7" s="19" t="n">
        <f aca="false">IFERROR(G7/'إجمالي المشتغلين'!B7,0)</f>
        <v>0.258464857074109</v>
      </c>
      <c r="J7" s="20" t="n">
        <f aca="false">(E7-I7)*100</f>
        <v>0.0451644821628738</v>
      </c>
      <c r="L7" s="21" t="n">
        <f aca="false">IF(AND(B7&gt;=50000,A7&lt;&gt;"غير محدد"),E7+ROW()/10^9,"")</f>
        <v>0.258916508895738</v>
      </c>
    </row>
    <row r="8" customFormat="false" ht="15" hidden="false" customHeight="false" outlineLevel="0" collapsed="false">
      <c r="A8" s="16" t="s">
        <v>24</v>
      </c>
      <c r="B8" s="17" t="n">
        <f aca="false">'إجمالي المشتغلين'!Q8</f>
        <v>49862</v>
      </c>
      <c r="C8" s="17" t="n">
        <f aca="false">'المشتغلون غير السعوديين'!Q8</f>
        <v>15237</v>
      </c>
      <c r="D8" s="18" t="n">
        <f aca="false">B8-C8</f>
        <v>34625</v>
      </c>
      <c r="E8" s="19" t="n">
        <f aca="false">IFERROR(D8/B8,0)</f>
        <v>0.694416589787814</v>
      </c>
      <c r="F8" s="19" t="n">
        <f aca="false">IFERROR(B8/$B$27,0)</f>
        <v>0.00389583794151743</v>
      </c>
      <c r="G8" s="18" t="n">
        <f aca="false">'إجمالي المشتغلين'!B8-'المشتغلون غير السعوديين'!B8</f>
        <v>41032</v>
      </c>
      <c r="H8" s="19" t="n">
        <f aca="false">IFERROR(D8/G8-1,"")</f>
        <v>-0.156146422304543</v>
      </c>
      <c r="I8" s="19" t="n">
        <f aca="false">IFERROR(G8/'إجمالي المشتغلين'!B8,0)</f>
        <v>0.52308712169501</v>
      </c>
      <c r="J8" s="20" t="n">
        <f aca="false">(E8-I8)*100</f>
        <v>17.1329468092804</v>
      </c>
      <c r="L8" s="15" t="str">
        <f aca="false">IF(AND(B8&gt;=50000,A8&lt;&gt;"غير محدد"),E8+ROW()/10^9,"")</f>
        <v/>
      </c>
    </row>
    <row r="9" customFormat="false" ht="15" hidden="false" customHeight="false" outlineLevel="0" collapsed="false">
      <c r="A9" s="16" t="s">
        <v>25</v>
      </c>
      <c r="B9" s="17" t="n">
        <f aca="false">'إجمالي المشتغلين'!Q9</f>
        <v>179481</v>
      </c>
      <c r="C9" s="17" t="n">
        <f aca="false">'المشتغلون غير السعوديين'!Q9</f>
        <v>142836</v>
      </c>
      <c r="D9" s="18" t="n">
        <f aca="false">B9-C9</f>
        <v>36645</v>
      </c>
      <c r="E9" s="19" t="n">
        <f aca="false">IFERROR(D9/B9,0)</f>
        <v>0.204172029351296</v>
      </c>
      <c r="F9" s="19" t="n">
        <f aca="false">IFERROR(B9/$B$27,0)</f>
        <v>0.014023282050088</v>
      </c>
      <c r="G9" s="18" t="n">
        <f aca="false">'إجمالي المشتغلين'!B9-'المشتغلون غير السعوديين'!B9</f>
        <v>5272</v>
      </c>
      <c r="H9" s="19" t="n">
        <f aca="false">IFERROR(D9/G9-1,"")</f>
        <v>5.95087253414264</v>
      </c>
      <c r="I9" s="19" t="n">
        <f aca="false">IFERROR(G9/'إجمالي المشتغلين'!B9,0)</f>
        <v>0.223598269573331</v>
      </c>
      <c r="J9" s="20" t="n">
        <f aca="false">(E9-I9)*100</f>
        <v>-1.94262402220348</v>
      </c>
      <c r="L9" s="21" t="n">
        <f aca="false">IF(AND(B9&gt;=50000,A9&lt;&gt;"غير محدد"),E9+ROW()/10^9,"")</f>
        <v>0.204172038351296</v>
      </c>
    </row>
    <row r="10" customFormat="false" ht="15" hidden="false" customHeight="false" outlineLevel="0" collapsed="false">
      <c r="A10" s="16" t="s">
        <v>26</v>
      </c>
      <c r="B10" s="17" t="n">
        <f aca="false">'إجمالي المشتغلين'!Q10</f>
        <v>3396663</v>
      </c>
      <c r="C10" s="17" t="n">
        <f aca="false">'المشتغلون غير السعوديين'!Q10</f>
        <v>2962223</v>
      </c>
      <c r="D10" s="18" t="n">
        <f aca="false">B10-C10</f>
        <v>434440</v>
      </c>
      <c r="E10" s="19" t="n">
        <f aca="false">IFERROR(D10/B10,0)</f>
        <v>0.127902002642005</v>
      </c>
      <c r="F10" s="19" t="n">
        <f aca="false">IFERROR(B10/$B$27,0)</f>
        <v>0.265389446671782</v>
      </c>
      <c r="G10" s="18" t="n">
        <f aca="false">'إجمالي المشتغلين'!B10-'المشتغلون غير السعوديين'!B10</f>
        <v>286699</v>
      </c>
      <c r="H10" s="19" t="n">
        <f aca="false">IFERROR(D10/G10-1,"")</f>
        <v>0.515317458379694</v>
      </c>
      <c r="I10" s="19" t="n">
        <f aca="false">IFERROR(G10/'إجمالي المشتغلين'!B10,0)</f>
        <v>0.141259286340027</v>
      </c>
      <c r="J10" s="20" t="n">
        <f aca="false">(E10-I10)*100</f>
        <v>-1.33572836980218</v>
      </c>
      <c r="L10" s="21" t="n">
        <f aca="false">IF(AND(B10&gt;=50000,A10&lt;&gt;"غير محدد"),E10+ROW()/10^9,"")</f>
        <v>0.127902012642005</v>
      </c>
    </row>
    <row r="11" customFormat="false" ht="15" hidden="false" customHeight="false" outlineLevel="0" collapsed="false">
      <c r="A11" s="16" t="s">
        <v>27</v>
      </c>
      <c r="B11" s="17" t="n">
        <f aca="false">'إجمالي المشتغلين'!Q11</f>
        <v>1753708</v>
      </c>
      <c r="C11" s="17" t="n">
        <f aca="false">'المشتغلون غير السعوديين'!Q11</f>
        <v>1361689</v>
      </c>
      <c r="D11" s="18" t="n">
        <f aca="false">B11-C11</f>
        <v>392019</v>
      </c>
      <c r="E11" s="19" t="n">
        <f aca="false">IFERROR(D11/B11,0)</f>
        <v>0.22353721372087</v>
      </c>
      <c r="F11" s="19" t="n">
        <f aca="false">IFERROR(B11/$B$27,0)</f>
        <v>0.137021422420734</v>
      </c>
      <c r="G11" s="18" t="n">
        <f aca="false">'إجمالي المشتغلين'!B11-'المشتغلون غير السعوديين'!B11</f>
        <v>445969</v>
      </c>
      <c r="H11" s="19" t="n">
        <f aca="false">IFERROR(D11/G11-1,"")</f>
        <v>-0.120972533965365</v>
      </c>
      <c r="I11" s="19" t="n">
        <f aca="false">IFERROR(G11/'إجمالي المشتغلين'!B11,0)</f>
        <v>0.243936311787592</v>
      </c>
      <c r="J11" s="20" t="n">
        <f aca="false">(E11-I11)*100</f>
        <v>-2.03990980667219</v>
      </c>
      <c r="L11" s="21" t="n">
        <f aca="false">IF(AND(B11&gt;=50000,A11&lt;&gt;"غير محدد"),E11+ROW()/10^9,"")</f>
        <v>0.22353722472087</v>
      </c>
    </row>
    <row r="12" customFormat="false" ht="15" hidden="false" customHeight="false" outlineLevel="0" collapsed="false">
      <c r="A12" s="16" t="s">
        <v>28</v>
      </c>
      <c r="B12" s="17" t="n">
        <f aca="false">'إجمالي المشتغلين'!Q12</f>
        <v>780243</v>
      </c>
      <c r="C12" s="17" t="n">
        <f aca="false">'المشتغلون غير السعوديين'!Q12</f>
        <v>629132</v>
      </c>
      <c r="D12" s="18" t="n">
        <f aca="false">B12-C12</f>
        <v>151111</v>
      </c>
      <c r="E12" s="19" t="n">
        <f aca="false">IFERROR(D12/B12,0)</f>
        <v>0.193671715093887</v>
      </c>
      <c r="F12" s="19" t="n">
        <f aca="false">IFERROR(B12/$B$27,0)</f>
        <v>0.0609622615018126</v>
      </c>
      <c r="G12" s="18" t="n">
        <f aca="false">'إجمالي المشتغلين'!B12-'المشتغلون غير السعوديين'!B12</f>
        <v>67453</v>
      </c>
      <c r="H12" s="19" t="n">
        <f aca="false">IFERROR(D12/G12-1,"")</f>
        <v>1.24024135323855</v>
      </c>
      <c r="I12" s="19" t="n">
        <f aca="false">IFERROR(G12/'إجمالي المشتغلين'!B12,0)</f>
        <v>0.258502019636849</v>
      </c>
      <c r="J12" s="20" t="n">
        <f aca="false">(E12-I12)*100</f>
        <v>-6.48303045429612</v>
      </c>
      <c r="L12" s="21" t="n">
        <f aca="false">IF(AND(B12&gt;=50000,A12&lt;&gt;"غير محدد"),E12+ROW()/10^9,"")</f>
        <v>0.193671727093887</v>
      </c>
    </row>
    <row r="13" customFormat="false" ht="15" hidden="false" customHeight="false" outlineLevel="0" collapsed="false">
      <c r="A13" s="16" t="s">
        <v>29</v>
      </c>
      <c r="B13" s="17" t="n">
        <f aca="false">'إجمالي المشتغلين'!Q13</f>
        <v>714084</v>
      </c>
      <c r="C13" s="17" t="n">
        <f aca="false">'المشتغلون غير السعوديين'!Q13</f>
        <v>576931</v>
      </c>
      <c r="D13" s="18" t="n">
        <f aca="false">B13-C13</f>
        <v>137153</v>
      </c>
      <c r="E13" s="19" t="n">
        <f aca="false">IFERROR(D13/B13,0)</f>
        <v>0.192068440127492</v>
      </c>
      <c r="F13" s="19" t="n">
        <f aca="false">IFERROR(B13/$B$27,0)</f>
        <v>0.0557930997679702</v>
      </c>
      <c r="G13" s="18" t="n">
        <f aca="false">'إجمالي المشتغلين'!B13-'المشتغلون غير السعوديين'!B13</f>
        <v>74799</v>
      </c>
      <c r="H13" s="19" t="n">
        <f aca="false">IFERROR(D13/G13-1,"")</f>
        <v>0.833620770331154</v>
      </c>
      <c r="I13" s="19" t="n">
        <f aca="false">IFERROR(G13/'إجمالي المشتغلين'!B13,0)</f>
        <v>0.196071698192342</v>
      </c>
      <c r="J13" s="20" t="n">
        <f aca="false">(E13-I13)*100</f>
        <v>-0.400325806484958</v>
      </c>
      <c r="L13" s="21" t="n">
        <f aca="false">IF(AND(B13&gt;=50000,A13&lt;&gt;"غير محدد"),E13+ROW()/10^9,"")</f>
        <v>0.192068453127492</v>
      </c>
    </row>
    <row r="14" customFormat="false" ht="15" hidden="false" customHeight="false" outlineLevel="0" collapsed="false">
      <c r="A14" s="16" t="s">
        <v>30</v>
      </c>
      <c r="B14" s="17" t="n">
        <f aca="false">'إجمالي المشتغلين'!Q14</f>
        <v>122356</v>
      </c>
      <c r="C14" s="17" t="n">
        <f aca="false">'المشتغلون غير السعوديين'!Q14</f>
        <v>54920</v>
      </c>
      <c r="D14" s="18" t="n">
        <f aca="false">B14-C14</f>
        <v>67436</v>
      </c>
      <c r="E14" s="19" t="n">
        <f aca="false">IFERROR(D14/B14,0)</f>
        <v>0.551145836738697</v>
      </c>
      <c r="F14" s="19" t="n">
        <f aca="false">IFERROR(B14/$B$27,0)</f>
        <v>0.00955996845638575</v>
      </c>
      <c r="G14" s="18" t="n">
        <f aca="false">'إجمالي المشتغلين'!B14-'المشتغلون غير السعوديين'!B14</f>
        <v>41119</v>
      </c>
      <c r="H14" s="19" t="n">
        <f aca="false">IFERROR(D14/G14-1,"")</f>
        <v>0.640020428512367</v>
      </c>
      <c r="I14" s="19" t="n">
        <f aca="false">IFERROR(G14/'إجمالي المشتغلين'!B14,0)</f>
        <v>0.522066478758792</v>
      </c>
      <c r="J14" s="20" t="n">
        <f aca="false">(E14-I14)*100</f>
        <v>2.90793579799046</v>
      </c>
      <c r="L14" s="21" t="n">
        <f aca="false">IF(AND(B14&gt;=50000,A14&lt;&gt;"غير محدد"),E14+ROW()/10^9,"")</f>
        <v>0.551145850738697</v>
      </c>
    </row>
    <row r="15" customFormat="false" ht="15" hidden="false" customHeight="false" outlineLevel="0" collapsed="false">
      <c r="A15" s="16" t="s">
        <v>31</v>
      </c>
      <c r="B15" s="17" t="n">
        <f aca="false">'إجمالي المشتغلين'!Q15</f>
        <v>101500</v>
      </c>
      <c r="C15" s="17" t="n">
        <f aca="false">'المشتغلون غير السعوديين'!Q15</f>
        <v>17204</v>
      </c>
      <c r="D15" s="18" t="n">
        <f aca="false">B15-C15</f>
        <v>84296</v>
      </c>
      <c r="E15" s="19" t="n">
        <f aca="false">IFERROR(D15/B15,0)</f>
        <v>0.830502463054187</v>
      </c>
      <c r="F15" s="19" t="n">
        <f aca="false">IFERROR(B15/$B$27,0)</f>
        <v>0.00793043903301149</v>
      </c>
      <c r="G15" s="18" t="n">
        <f aca="false">'إجمالي المشتغلين'!B15-'المشتغلون غير السعوديين'!B15</f>
        <v>64199</v>
      </c>
      <c r="H15" s="19" t="n">
        <f aca="false">IFERROR(D15/G15-1,"")</f>
        <v>0.313042259225222</v>
      </c>
      <c r="I15" s="19" t="n">
        <f aca="false">IFERROR(G15/'إجمالي المشتغلين'!B15,0)</f>
        <v>0.835815649004036</v>
      </c>
      <c r="J15" s="20" t="n">
        <f aca="false">(E15-I15)*100</f>
        <v>-0.531318594984875</v>
      </c>
      <c r="L15" s="21" t="n">
        <f aca="false">IF(AND(B15&gt;=50000,A15&lt;&gt;"غير محدد"),E15+ROW()/10^9,"")</f>
        <v>0.830502478054187</v>
      </c>
    </row>
    <row r="16" customFormat="false" ht="15" hidden="false" customHeight="false" outlineLevel="0" collapsed="false">
      <c r="A16" s="16" t="s">
        <v>32</v>
      </c>
      <c r="B16" s="17" t="n">
        <f aca="false">'إجمالي المشتغلين'!Q16</f>
        <v>56703</v>
      </c>
      <c r="C16" s="17" t="n">
        <f aca="false">'المشتغلون غير السعوديين'!Q16</f>
        <v>34771</v>
      </c>
      <c r="D16" s="18" t="n">
        <f aca="false">B16-C16</f>
        <v>21932</v>
      </c>
      <c r="E16" s="19" t="n">
        <f aca="false">IFERROR(D16/B16,0)</f>
        <v>0.386787295204839</v>
      </c>
      <c r="F16" s="19" t="n">
        <f aca="false">IFERROR(B16/$B$27,0)</f>
        <v>0.00443034171910197</v>
      </c>
      <c r="G16" s="18" t="n">
        <f aca="false">'إجمالي المشتغلين'!B16-'المشتغلون غير السعوديين'!B16</f>
        <v>13581</v>
      </c>
      <c r="H16" s="19" t="n">
        <f aca="false">IFERROR(D16/G16-1,"")</f>
        <v>0.614903173551285</v>
      </c>
      <c r="I16" s="19" t="n">
        <f aca="false">IFERROR(G16/'إجمالي المشتغلين'!B16,0)</f>
        <v>0.356138878690932</v>
      </c>
      <c r="J16" s="20" t="n">
        <f aca="false">(E16-I16)*100</f>
        <v>3.06484165139073</v>
      </c>
      <c r="L16" s="21" t="n">
        <f aca="false">IF(AND(B16&gt;=50000,A16&lt;&gt;"غير محدد"),E16+ROW()/10^9,"")</f>
        <v>0.386787311204839</v>
      </c>
    </row>
    <row r="17" customFormat="false" ht="15" hidden="false" customHeight="false" outlineLevel="0" collapsed="false">
      <c r="A17" s="16" t="s">
        <v>33</v>
      </c>
      <c r="B17" s="17" t="n">
        <f aca="false">'إجمالي المشتغلين'!Q17</f>
        <v>277561</v>
      </c>
      <c r="C17" s="17" t="n">
        <f aca="false">'المشتغلون غير السعوديين'!Q17</f>
        <v>141635</v>
      </c>
      <c r="D17" s="18" t="n">
        <f aca="false">B17-C17</f>
        <v>135926</v>
      </c>
      <c r="E17" s="19" t="n">
        <f aca="false">IFERROR(D17/B17,0)</f>
        <v>0.489715774190178</v>
      </c>
      <c r="F17" s="19" t="n">
        <f aca="false">IFERROR(B17/$B$27,0)</f>
        <v>0.0216865082605094</v>
      </c>
      <c r="G17" s="18" t="n">
        <f aca="false">'إجمالي المشتغلين'!B17-'المشتغلون غير السعوديين'!B17</f>
        <v>44560</v>
      </c>
      <c r="H17" s="19" t="n">
        <f aca="false">IFERROR(D17/G17-1,"")</f>
        <v>2.0504039497307</v>
      </c>
      <c r="I17" s="19" t="n">
        <f aca="false">IFERROR(G17/'إجمالي المشتغلين'!B17,0)</f>
        <v>0.33787011411457</v>
      </c>
      <c r="J17" s="20" t="n">
        <f aca="false">(E17-I17)*100</f>
        <v>15.1845660075609</v>
      </c>
      <c r="L17" s="21" t="n">
        <f aca="false">IF(AND(B17&gt;=50000,A17&lt;&gt;"غير محدد"),E17+ROW()/10^9,"")</f>
        <v>0.489715791190178</v>
      </c>
    </row>
    <row r="18" customFormat="false" ht="15" hidden="false" customHeight="false" outlineLevel="0" collapsed="false">
      <c r="A18" s="16" t="s">
        <v>34</v>
      </c>
      <c r="B18" s="17" t="n">
        <f aca="false">'إجمالي المشتغلين'!Q18</f>
        <v>1267077</v>
      </c>
      <c r="C18" s="17" t="n">
        <f aca="false">'المشتغلون غير السعوديين'!Q18</f>
        <v>1075106</v>
      </c>
      <c r="D18" s="18" t="n">
        <f aca="false">B18-C18</f>
        <v>191971</v>
      </c>
      <c r="E18" s="19" t="n">
        <f aca="false">IFERROR(D18/B18,0)</f>
        <v>0.15150697234659</v>
      </c>
      <c r="F18" s="19" t="n">
        <f aca="false">IFERROR(B18/$B$27,0)</f>
        <v>0.0989997724003064</v>
      </c>
      <c r="G18" s="18" t="n">
        <f aca="false">'إجمالي المشتغلين'!B18-'المشتغلون غير السعوديين'!B18</f>
        <v>131967</v>
      </c>
      <c r="H18" s="19" t="n">
        <f aca="false">IFERROR(D18/G18-1,"")</f>
        <v>0.454689429933241</v>
      </c>
      <c r="I18" s="19" t="n">
        <f aca="false">IFERROR(G18/'إجمالي المشتغلين'!B18,0)</f>
        <v>0.135208765358229</v>
      </c>
      <c r="J18" s="20" t="n">
        <f aca="false">(E18-I18)*100</f>
        <v>1.62982069883609</v>
      </c>
      <c r="L18" s="21" t="n">
        <f aca="false">IF(AND(B18&gt;=50000,A18&lt;&gt;"غير محدد"),E18+ROW()/10^9,"")</f>
        <v>0.15150699034659</v>
      </c>
    </row>
    <row r="19" customFormat="false" ht="15" hidden="false" customHeight="false" outlineLevel="0" collapsed="false">
      <c r="A19" s="16" t="s">
        <v>35</v>
      </c>
      <c r="B19" s="17" t="n">
        <f aca="false">'إجمالي المشتغلين'!Q19</f>
        <v>300533</v>
      </c>
      <c r="C19" s="17" t="n">
        <f aca="false">'المشتغلون غير السعوديين'!Q19</f>
        <v>57328</v>
      </c>
      <c r="D19" s="18" t="n">
        <f aca="false">B19-C19</f>
        <v>243205</v>
      </c>
      <c r="E19" s="19" t="n">
        <f aca="false">IFERROR(D19/B19,0)</f>
        <v>0.809245573697398</v>
      </c>
      <c r="F19" s="19" t="n">
        <f aca="false">IFERROR(B19/$B$27,0)</f>
        <v>0.0234813658513108</v>
      </c>
      <c r="G19" s="18" t="n">
        <f aca="false">'إجمالي المشتغلين'!B19-'المشتغلون غير السعوديين'!B19</f>
        <v>186072</v>
      </c>
      <c r="H19" s="19" t="n">
        <f aca="false">IFERROR(D19/G19-1,"")</f>
        <v>0.307047809450105</v>
      </c>
      <c r="I19" s="19" t="n">
        <f aca="false">IFERROR(G19/'إجمالي المشتغلين'!B19,0)</f>
        <v>0.704031479975028</v>
      </c>
      <c r="J19" s="20" t="n">
        <f aca="false">(E19-I19)*100</f>
        <v>10.521409372237</v>
      </c>
      <c r="L19" s="21" t="n">
        <f aca="false">IF(AND(B19&gt;=50000,A19&lt;&gt;"غير محدد"),E19+ROW()/10^9,"")</f>
        <v>0.809245592697398</v>
      </c>
    </row>
    <row r="20" customFormat="false" ht="15" hidden="false" customHeight="false" outlineLevel="0" collapsed="false">
      <c r="A20" s="16" t="s">
        <v>36</v>
      </c>
      <c r="B20" s="17" t="n">
        <f aca="false">'إجمالي المشتغلين'!Q20</f>
        <v>292239</v>
      </c>
      <c r="C20" s="17" t="n">
        <f aca="false">'المشتغلون غير السعوديين'!Q20</f>
        <v>179883</v>
      </c>
      <c r="D20" s="18" t="n">
        <f aca="false">B20-C20</f>
        <v>112356</v>
      </c>
      <c r="E20" s="19" t="n">
        <f aca="false">IFERROR(D20/B20,0)</f>
        <v>0.384466139016353</v>
      </c>
      <c r="F20" s="19" t="n">
        <f aca="false">IFERROR(B20/$B$27,0)</f>
        <v>0.0228333356903275</v>
      </c>
      <c r="G20" s="18" t="n">
        <f aca="false">'إجمالي المشتغلين'!B20-'المشتغلون غير السعوديين'!B20</f>
        <v>64313</v>
      </c>
      <c r="H20" s="19" t="n">
        <f aca="false">IFERROR(D20/G20-1,"")</f>
        <v>0.74701848770855</v>
      </c>
      <c r="I20" s="19" t="n">
        <f aca="false">IFERROR(G20/'إجمالي المشتغلين'!B20,0)</f>
        <v>0.524126971191068</v>
      </c>
      <c r="J20" s="20" t="n">
        <f aca="false">(E20-I20)*100</f>
        <v>-13.9660832174715</v>
      </c>
      <c r="L20" s="21" t="n">
        <f aca="false">IF(AND(B20&gt;=50000,A20&lt;&gt;"غير محدد"),E20+ROW()/10^9,"")</f>
        <v>0.384466159016353</v>
      </c>
    </row>
    <row r="21" customFormat="false" ht="15" hidden="false" customHeight="false" outlineLevel="0" collapsed="false">
      <c r="A21" s="16" t="s">
        <v>37</v>
      </c>
      <c r="B21" s="17" t="n">
        <f aca="false">'إجمالي المشتغلين'!Q21</f>
        <v>466499</v>
      </c>
      <c r="C21" s="17" t="n">
        <f aca="false">'المشتغلون غير السعوديين'!Q21</f>
        <v>227819</v>
      </c>
      <c r="D21" s="18" t="n">
        <f aca="false">B21-C21</f>
        <v>238680</v>
      </c>
      <c r="E21" s="19" t="n">
        <f aca="false">IFERROR(D21/B21,0)</f>
        <v>0.511640968147842</v>
      </c>
      <c r="F21" s="19" t="n">
        <f aca="false">IFERROR(B21/$B$27,0)</f>
        <v>0.0364486884577421</v>
      </c>
      <c r="G21" s="18" t="n">
        <f aca="false">'إجمالي المشتغلين'!B21-'المشتغلون غير السعوديين'!B21</f>
        <v>202540</v>
      </c>
      <c r="H21" s="19" t="n">
        <f aca="false">IFERROR(D21/G21-1,"")</f>
        <v>0.178433889602054</v>
      </c>
      <c r="I21" s="19" t="n">
        <f aca="false">IFERROR(G21/'إجمالي المشتغلين'!B21,0)</f>
        <v>0.463828520392974</v>
      </c>
      <c r="J21" s="20" t="n">
        <f aca="false">(E21-I21)*100</f>
        <v>4.78124477548675</v>
      </c>
      <c r="L21" s="21" t="n">
        <f aca="false">IF(AND(B21&gt;=50000,A21&lt;&gt;"غير محدد"),E21+ROW()/10^9,"")</f>
        <v>0.511640989147842</v>
      </c>
    </row>
    <row r="22" customFormat="false" ht="15" hidden="false" customHeight="false" outlineLevel="0" collapsed="false">
      <c r="A22" s="16" t="s">
        <v>38</v>
      </c>
      <c r="B22" s="17" t="n">
        <f aca="false">'إجمالي المشتغلين'!Q22</f>
        <v>41689</v>
      </c>
      <c r="C22" s="17" t="n">
        <f aca="false">'المشتغلون غير السعوديين'!Q22</f>
        <v>26237</v>
      </c>
      <c r="D22" s="18" t="n">
        <f aca="false">B22-C22</f>
        <v>15452</v>
      </c>
      <c r="E22" s="19" t="n">
        <f aca="false">IFERROR(D22/B22,0)</f>
        <v>0.370649331958071</v>
      </c>
      <c r="F22" s="19" t="n">
        <f aca="false">IFERROR(B22/$B$27,0)</f>
        <v>0.0032572618014504</v>
      </c>
      <c r="G22" s="18" t="n">
        <f aca="false">'إجمالي المشتغلين'!B22-'المشتغلون غير السعوديين'!B22</f>
        <v>9287</v>
      </c>
      <c r="H22" s="19" t="n">
        <f aca="false">IFERROR(D22/G22-1,"")</f>
        <v>0.66383116183913</v>
      </c>
      <c r="I22" s="19" t="n">
        <f aca="false">IFERROR(G22/'إجمالي المشتغلين'!B22,0)</f>
        <v>0.330216185464372</v>
      </c>
      <c r="J22" s="20" t="n">
        <f aca="false">(E22-I22)*100</f>
        <v>4.04331464936984</v>
      </c>
      <c r="L22" s="15" t="str">
        <f aca="false">IF(AND(B22&gt;=50000,A22&lt;&gt;"غير محدد"),E22+ROW()/10^9,"")</f>
        <v/>
      </c>
    </row>
    <row r="23" customFormat="false" ht="15" hidden="false" customHeight="false" outlineLevel="0" collapsed="false">
      <c r="A23" s="16" t="s">
        <v>39</v>
      </c>
      <c r="B23" s="17" t="n">
        <f aca="false">'إجمالي المشتغلين'!Q23</f>
        <v>281093</v>
      </c>
      <c r="C23" s="17" t="n">
        <f aca="false">'المشتغلون غير السعوديين'!Q23</f>
        <v>237190</v>
      </c>
      <c r="D23" s="18" t="n">
        <f aca="false">B23-C23</f>
        <v>43903</v>
      </c>
      <c r="E23" s="19" t="n">
        <f aca="false">IFERROR(D23/B23,0)</f>
        <v>0.156186742466017</v>
      </c>
      <c r="F23" s="19" t="n">
        <f aca="false">IFERROR(B23/$B$27,0)</f>
        <v>0.0219624719123773</v>
      </c>
      <c r="G23" s="18" t="n">
        <f aca="false">'إجمالي المشتغلين'!B23-'المشتغلون غير السعوديين'!B23</f>
        <v>42481</v>
      </c>
      <c r="H23" s="19" t="n">
        <f aca="false">IFERROR(D23/G23-1,"")</f>
        <v>0.0334737882818201</v>
      </c>
      <c r="I23" s="19" t="n">
        <f aca="false">IFERROR(G23/'إجمالي المشتغلين'!B23,0)</f>
        <v>0.202280843769344</v>
      </c>
      <c r="J23" s="20" t="n">
        <f aca="false">(E23-I23)*100</f>
        <v>-4.60941013033278</v>
      </c>
      <c r="L23" s="21" t="n">
        <f aca="false">IF(AND(B23&gt;=50000,A23&lt;&gt;"غير محدد"),E23+ROW()/10^9,"")</f>
        <v>0.156186765466017</v>
      </c>
    </row>
    <row r="24" customFormat="false" ht="15" hidden="false" customHeight="false" outlineLevel="0" collapsed="false">
      <c r="A24" s="16" t="s">
        <v>40</v>
      </c>
      <c r="B24" s="17" t="n">
        <f aca="false">'إجمالي المشتغلين'!Q24</f>
        <v>109</v>
      </c>
      <c r="C24" s="17" t="n">
        <f aca="false">'المشتغلون غير السعوديين'!Q24</f>
        <v>59</v>
      </c>
      <c r="D24" s="18" t="n">
        <f aca="false">B24-C24</f>
        <v>50</v>
      </c>
      <c r="E24" s="19" t="n">
        <f aca="false">IFERROR(D24/B24,0)</f>
        <v>0.458715596330275</v>
      </c>
      <c r="F24" s="19" t="n">
        <f aca="false">IFERROR(B24/$B$27,0)</f>
        <v>8.51643206500741E-006</v>
      </c>
      <c r="G24" s="18" t="n">
        <f aca="false">'إجمالي المشتغلين'!B24-'المشتغلون غير السعوديين'!B24</f>
        <v>31</v>
      </c>
      <c r="H24" s="19" t="n">
        <f aca="false">IFERROR(D24/G24-1,"")</f>
        <v>0.612903225806452</v>
      </c>
      <c r="I24" s="19" t="n">
        <f aca="false">IFERROR(G24/'إجمالي المشتغلين'!B24,0)</f>
        <v>0.213793103448276</v>
      </c>
      <c r="J24" s="20" t="n">
        <f aca="false">(E24-I24)*100</f>
        <v>24.4922492881999</v>
      </c>
      <c r="L24" s="15" t="str">
        <f aca="false">IF(AND(B24&gt;=50000,A24&lt;&gt;"غير محدد"),E24+ROW()/10^9,"")</f>
        <v/>
      </c>
    </row>
    <row r="25" customFormat="false" ht="15" hidden="false" customHeight="false" outlineLevel="0" collapsed="false">
      <c r="A25" s="16" t="s">
        <v>41</v>
      </c>
      <c r="B25" s="17" t="n">
        <f aca="false">'إجمالي المشتغلين'!Q25</f>
        <v>393</v>
      </c>
      <c r="C25" s="17" t="n">
        <f aca="false">'المشتغلون غير السعوديين'!Q25</f>
        <v>116</v>
      </c>
      <c r="D25" s="18" t="n">
        <f aca="false">B25-C25</f>
        <v>277</v>
      </c>
      <c r="E25" s="19" t="n">
        <f aca="false">IFERROR(D25/B25,0)</f>
        <v>0.704834605597964</v>
      </c>
      <c r="F25" s="19" t="n">
        <f aca="false">IFERROR(B25/$B$27,0)</f>
        <v>3.07060348765864E-005</v>
      </c>
      <c r="G25" s="18" t="n">
        <f aca="false">'إجمالي المشتغلين'!B25-'المشتغلون غير السعوديين'!B25</f>
        <v>1155</v>
      </c>
      <c r="H25" s="19" t="n">
        <f aca="false">IFERROR(D25/G25-1,"")</f>
        <v>-0.76017316017316</v>
      </c>
      <c r="I25" s="19" t="n">
        <f aca="false">IFERROR(G25/'إجمالي المشتغلين'!B25,0)</f>
        <v>0.733333333333333</v>
      </c>
      <c r="J25" s="20" t="n">
        <f aca="false">(E25-I25)*100</f>
        <v>-2.84987277353689</v>
      </c>
      <c r="L25" s="15" t="str">
        <f aca="false">IF(AND(B25&gt;=50000,A25&lt;&gt;"غير محدد"),E25+ROW()/10^9,"")</f>
        <v/>
      </c>
    </row>
    <row r="26" customFormat="false" ht="15" hidden="false" customHeight="false" outlineLevel="0" collapsed="false">
      <c r="A26" s="16" t="s">
        <v>42</v>
      </c>
      <c r="B26" s="17" t="n">
        <f aca="false">'إجمالي المشتغلين'!Q26</f>
        <v>580785</v>
      </c>
      <c r="C26" s="17" t="n">
        <f aca="false">'المشتغلون غير السعوديين'!Q26</f>
        <v>569869</v>
      </c>
      <c r="D26" s="18" t="n">
        <f aca="false">B26-C26</f>
        <v>10916</v>
      </c>
      <c r="E26" s="19" t="n">
        <f aca="false">IFERROR(D26/B26,0)</f>
        <v>0.0187952512547673</v>
      </c>
      <c r="F26" s="19" t="n">
        <f aca="false">IFERROR(B26/$B$27,0)</f>
        <v>0.0453781284117003</v>
      </c>
      <c r="G26" s="18" t="n">
        <f aca="false">'إجمالي المشتغلين'!B26-'المشتغلون غير السعوديين'!B26</f>
        <v>1780</v>
      </c>
      <c r="H26" s="19" t="n">
        <f aca="false">IFERROR(D26/G26-1,"")</f>
        <v>5.13258426966292</v>
      </c>
      <c r="I26" s="19" t="n">
        <f aca="false">IFERROR(G26/'إجمالي المشتغلين'!B26,0)</f>
        <v>0.0149733340062922</v>
      </c>
      <c r="J26" s="20" t="n">
        <f aca="false">(E26-I26)*100</f>
        <v>0.382191724847509</v>
      </c>
      <c r="L26" s="15" t="str">
        <f aca="false">IF(AND(B26&gt;=50000,A26&lt;&gt;"غير محدد"),E26+ROW()/10^9,"")</f>
        <v/>
      </c>
    </row>
    <row r="27" customFormat="false" ht="15" hidden="false" customHeight="false" outlineLevel="0" collapsed="false">
      <c r="A27" s="22" t="s">
        <v>43</v>
      </c>
      <c r="B27" s="23" t="n">
        <f aca="false">SUM(B5:B26)</f>
        <v>12798787</v>
      </c>
      <c r="C27" s="23" t="n">
        <f aca="false">SUM(C5:C26)</f>
        <v>9882887</v>
      </c>
      <c r="D27" s="23" t="n">
        <f aca="false">SUM(D5:D26)</f>
        <v>2915900</v>
      </c>
      <c r="E27" s="24" t="n">
        <f aca="false">IFERROR(D27/B27,0)</f>
        <v>0.227826277599588</v>
      </c>
      <c r="F27" s="24" t="n">
        <f aca="false">SUM(F5:F26)</f>
        <v>1</v>
      </c>
      <c r="G27" s="23" t="n">
        <f aca="false">SUM(G5:G26)</f>
        <v>2065338</v>
      </c>
      <c r="H27" s="24" t="n">
        <f aca="false">IFERROR(D27/G27-1,"")</f>
        <v>0.411827022986068</v>
      </c>
      <c r="I27" s="24" t="n">
        <f aca="false">IFERROR(G27/'إجمالي المشتغلين'!B27,0)</f>
        <v>0.252172787622235</v>
      </c>
      <c r="J27" s="25" t="n">
        <f aca="false">(E27-I27)*100</f>
        <v>-2.43465100226468</v>
      </c>
    </row>
    <row r="29" customFormat="false" ht="15" hidden="false" customHeight="false" outlineLevel="0" collapsed="false">
      <c r="A29" s="26" t="s">
        <v>44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16"/>
    <col collapsed="false" customWidth="true" hidden="false" outlineLevel="0" max="5" min="5" style="0" width="14"/>
    <col collapsed="false" customWidth="true" hidden="false" outlineLevel="0" max="6" min="6" style="0" width="18"/>
  </cols>
  <sheetData>
    <row r="1" customFormat="false" ht="19.7" hidden="false" customHeight="false" outlineLevel="0" collapsed="false">
      <c r="A1" s="1" t="s">
        <v>45</v>
      </c>
    </row>
    <row r="2" customFormat="false" ht="15" hidden="false" customHeight="false" outlineLevel="0" collapsed="false">
      <c r="A2" s="2" t="s">
        <v>1</v>
      </c>
    </row>
    <row r="4" customFormat="false" ht="33.75" hidden="false" customHeight="true" outlineLevel="0" collapsed="false">
      <c r="A4" s="8" t="s">
        <v>46</v>
      </c>
      <c r="B4" s="8" t="s">
        <v>11</v>
      </c>
      <c r="C4" s="8" t="s">
        <v>14</v>
      </c>
      <c r="D4" s="8" t="s">
        <v>3</v>
      </c>
      <c r="E4" s="8" t="s">
        <v>4</v>
      </c>
      <c r="F4" s="8" t="s">
        <v>47</v>
      </c>
    </row>
    <row r="5" customFormat="false" ht="15" hidden="false" customHeight="false" outlineLevel="0" collapsed="false">
      <c r="A5" s="27" t="s">
        <v>48</v>
      </c>
      <c r="B5" s="28" t="n">
        <f aca="false">'إجمالي المشتغلين'!B27</f>
        <v>8190170</v>
      </c>
      <c r="C5" s="28" t="n">
        <f aca="false">'المشتغلون غير السعوديين'!B27</f>
        <v>6124832</v>
      </c>
      <c r="D5" s="28" t="n">
        <f aca="false">B5-C5</f>
        <v>2065338</v>
      </c>
      <c r="E5" s="29" t="n">
        <f aca="false">D5/B5</f>
        <v>0.252172787622235</v>
      </c>
      <c r="F5" s="29"/>
    </row>
    <row r="6" customFormat="false" ht="15" hidden="false" customHeight="false" outlineLevel="0" collapsed="false">
      <c r="A6" s="27" t="s">
        <v>49</v>
      </c>
      <c r="B6" s="28" t="n">
        <f aca="false">'إجمالي المشتغلين'!C27</f>
        <v>8158385</v>
      </c>
      <c r="C6" s="28" t="n">
        <f aca="false">'المشتغلون غير السعوديين'!C27</f>
        <v>6023077</v>
      </c>
      <c r="D6" s="28" t="n">
        <f aca="false">B6-C6</f>
        <v>2135308</v>
      </c>
      <c r="E6" s="29" t="n">
        <f aca="false">D6/B6</f>
        <v>0.261731703027008</v>
      </c>
      <c r="F6" s="29" t="n">
        <f aca="false">IFERROR(D6/D5-1,"")</f>
        <v>0.0338782320375648</v>
      </c>
    </row>
    <row r="7" customFormat="false" ht="15" hidden="false" customHeight="false" outlineLevel="0" collapsed="false">
      <c r="A7" s="27" t="s">
        <v>50</v>
      </c>
      <c r="B7" s="28" t="n">
        <f aca="false">'إجمالي المشتغلين'!D27</f>
        <v>8531308</v>
      </c>
      <c r="C7" s="28" t="n">
        <f aca="false">'المشتغلون غير السعوديين'!D27</f>
        <v>6290496</v>
      </c>
      <c r="D7" s="28" t="n">
        <f aca="false">B7-C7</f>
        <v>2240812</v>
      </c>
      <c r="E7" s="29" t="n">
        <f aca="false">D7/B7</f>
        <v>0.262657496365153</v>
      </c>
      <c r="F7" s="29" t="n">
        <f aca="false">IFERROR(D7/D6-1,"")</f>
        <v>0.0494092655485765</v>
      </c>
    </row>
    <row r="8" customFormat="false" ht="15" hidden="false" customHeight="false" outlineLevel="0" collapsed="false">
      <c r="A8" s="27" t="s">
        <v>51</v>
      </c>
      <c r="B8" s="28" t="n">
        <f aca="false">'إجمالي المشتغلين'!E27</f>
        <v>9096479</v>
      </c>
      <c r="C8" s="28" t="n">
        <f aca="false">'المشتغلون غير السعوديين'!E27</f>
        <v>6722989</v>
      </c>
      <c r="D8" s="28" t="n">
        <f aca="false">B8-C8</f>
        <v>2373490</v>
      </c>
      <c r="E8" s="29" t="n">
        <f aca="false">D8/B8</f>
        <v>0.260924034453331</v>
      </c>
      <c r="F8" s="29" t="n">
        <f aca="false">IFERROR(D8/D7-1,"")</f>
        <v>0.059209786452411</v>
      </c>
    </row>
    <row r="9" customFormat="false" ht="15" hidden="false" customHeight="false" outlineLevel="0" collapsed="false">
      <c r="A9" s="27" t="s">
        <v>52</v>
      </c>
      <c r="B9" s="28" t="n">
        <f aca="false">'إجمالي المشتغلين'!F27</f>
        <v>9541622</v>
      </c>
      <c r="C9" s="28" t="n">
        <f aca="false">'المشتغلون غير السعوديين'!F27</f>
        <v>7098669</v>
      </c>
      <c r="D9" s="28" t="n">
        <f aca="false">B9-C9</f>
        <v>2442953</v>
      </c>
      <c r="E9" s="29" t="n">
        <f aca="false">D9/B9</f>
        <v>0.256031207272726</v>
      </c>
      <c r="F9" s="29" t="n">
        <f aca="false">IFERROR(D9/D8-1,"")</f>
        <v>0.0292661860804133</v>
      </c>
    </row>
    <row r="10" customFormat="false" ht="15" hidden="false" customHeight="false" outlineLevel="0" collapsed="false">
      <c r="A10" s="27" t="s">
        <v>53</v>
      </c>
      <c r="B10" s="28" t="n">
        <f aca="false">'إجمالي المشتغلين'!H27</f>
        <v>9923038</v>
      </c>
      <c r="C10" s="28" t="n">
        <f aca="false">'المشتغلون غير السعوديين'!H27</f>
        <v>7341623</v>
      </c>
      <c r="D10" s="28" t="n">
        <f aca="false">B10-C10</f>
        <v>2581415</v>
      </c>
      <c r="E10" s="29" t="n">
        <f aca="false">D10/B10</f>
        <v>0.260143617307522</v>
      </c>
      <c r="F10" s="29" t="n">
        <f aca="false">IFERROR(D10/D9-1,"")</f>
        <v>0.0566781268407537</v>
      </c>
    </row>
    <row r="11" customFormat="false" ht="15" hidden="false" customHeight="false" outlineLevel="0" collapsed="false">
      <c r="A11" s="27" t="s">
        <v>54</v>
      </c>
      <c r="B11" s="28" t="n">
        <f aca="false">'إجمالي المشتغلين'!I27</f>
        <v>10439035</v>
      </c>
      <c r="C11" s="28" t="n">
        <f aca="false">'المشتغلون غير السعوديين'!I27</f>
        <v>7807847</v>
      </c>
      <c r="D11" s="28" t="n">
        <f aca="false">B11-C11</f>
        <v>2631188</v>
      </c>
      <c r="E11" s="29" t="n">
        <f aca="false">D11/B11</f>
        <v>0.252052799899608</v>
      </c>
      <c r="F11" s="29" t="n">
        <f aca="false">IFERROR(D11/D10-1,"")</f>
        <v>0.0192812856514741</v>
      </c>
    </row>
    <row r="12" customFormat="false" ht="15" hidden="false" customHeight="false" outlineLevel="0" collapsed="false">
      <c r="A12" s="27" t="s">
        <v>55</v>
      </c>
      <c r="B12" s="28" t="n">
        <f aca="false">'إجمالي المشتغلين'!J27</f>
        <v>10495086</v>
      </c>
      <c r="C12" s="28" t="n">
        <f aca="false">'المشتغلون غير السعوديين'!J27</f>
        <v>7863882</v>
      </c>
      <c r="D12" s="28" t="n">
        <f aca="false">B12-C12</f>
        <v>2631204</v>
      </c>
      <c r="E12" s="29" t="n">
        <f aca="false">D12/B12</f>
        <v>0.25070818857511</v>
      </c>
      <c r="F12" s="29" t="n">
        <f aca="false">IFERROR(D12/D11-1,"")</f>
        <v>6.08090337905765E-006</v>
      </c>
    </row>
    <row r="13" customFormat="false" ht="15" hidden="false" customHeight="false" outlineLevel="0" collapsed="false">
      <c r="A13" s="27" t="s">
        <v>56</v>
      </c>
      <c r="B13" s="28" t="n">
        <f aca="false">'إجمالي المشتغلين'!K27</f>
        <v>10812988</v>
      </c>
      <c r="C13" s="28" t="n">
        <f aca="false">'المشتغلون غير السعوديين'!K27</f>
        <v>8116191</v>
      </c>
      <c r="D13" s="28" t="n">
        <f aca="false">B13-C13</f>
        <v>2696797</v>
      </c>
      <c r="E13" s="29" t="n">
        <f aca="false">D13/B13</f>
        <v>0.249403495130116</v>
      </c>
      <c r="F13" s="29" t="n">
        <f aca="false">IFERROR(D13/D12-1,"")</f>
        <v>0.0249288918685133</v>
      </c>
    </row>
    <row r="14" customFormat="false" ht="15" hidden="false" customHeight="false" outlineLevel="0" collapsed="false">
      <c r="A14" s="27" t="s">
        <v>57</v>
      </c>
      <c r="B14" s="28" t="n">
        <f aca="false">'إجمالي المشتغلين'!L27</f>
        <v>10842733</v>
      </c>
      <c r="C14" s="28" t="n">
        <f aca="false">'المشتغلون غير السعوديين'!L27</f>
        <v>8104303</v>
      </c>
      <c r="D14" s="28" t="n">
        <f aca="false">B14-C14</f>
        <v>2738430</v>
      </c>
      <c r="E14" s="29" t="n">
        <f aca="false">D14/B14</f>
        <v>0.252559018099957</v>
      </c>
      <c r="F14" s="29" t="n">
        <f aca="false">IFERROR(D14/D13-1,"")</f>
        <v>0.0154379436049505</v>
      </c>
    </row>
    <row r="15" customFormat="false" ht="15" hidden="false" customHeight="false" outlineLevel="0" collapsed="false">
      <c r="A15" s="27" t="s">
        <v>58</v>
      </c>
      <c r="B15" s="28" t="n">
        <f aca="false">'إجمالي المشتغلين'!M27</f>
        <v>11393432</v>
      </c>
      <c r="C15" s="28" t="n">
        <f aca="false">'المشتغلون غير السعوديين'!M27</f>
        <v>8622747</v>
      </c>
      <c r="D15" s="28" t="n">
        <f aca="false">B15-C15</f>
        <v>2770685</v>
      </c>
      <c r="E15" s="29" t="n">
        <f aca="false">D15/B15</f>
        <v>0.243182651197637</v>
      </c>
      <c r="F15" s="29" t="n">
        <f aca="false">IFERROR(D15/D14-1,"")</f>
        <v>0.0117786468889107</v>
      </c>
    </row>
    <row r="16" customFormat="false" ht="15" hidden="false" customHeight="false" outlineLevel="0" collapsed="false">
      <c r="A16" s="27" t="s">
        <v>59</v>
      </c>
      <c r="B16" s="28" t="n">
        <f aca="false">'إجمالي المشتغلين'!N27</f>
        <v>11706763</v>
      </c>
      <c r="C16" s="28" t="n">
        <f aca="false">'المشتغلون غير السعوديين'!N27</f>
        <v>8934343</v>
      </c>
      <c r="D16" s="28" t="n">
        <f aca="false">B16-C16</f>
        <v>2772420</v>
      </c>
      <c r="E16" s="29" t="n">
        <f aca="false">D16/B16</f>
        <v>0.236822083098462</v>
      </c>
      <c r="F16" s="29" t="n">
        <f aca="false">IFERROR(D16/D15-1,"")</f>
        <v>0.000626198936364064</v>
      </c>
    </row>
    <row r="17" customFormat="false" ht="15" hidden="false" customHeight="false" outlineLevel="0" collapsed="false">
      <c r="A17" s="27" t="s">
        <v>60</v>
      </c>
      <c r="B17" s="28" t="n">
        <f aca="false">'إجمالي المشتغلين'!O27</f>
        <v>12008658</v>
      </c>
      <c r="C17" s="28" t="n">
        <f aca="false">'المشتغلون غير السعوديين'!O27</f>
        <v>9178419</v>
      </c>
      <c r="D17" s="28" t="n">
        <f aca="false">B17-C17</f>
        <v>2830239</v>
      </c>
      <c r="E17" s="29" t="n">
        <f aca="false">D17/B17</f>
        <v>0.235683204567904</v>
      </c>
      <c r="F17" s="29" t="n">
        <f aca="false">IFERROR(D17/D16-1,"")</f>
        <v>0.0208550652498538</v>
      </c>
    </row>
    <row r="18" customFormat="false" ht="15" hidden="false" customHeight="false" outlineLevel="0" collapsed="false">
      <c r="A18" s="27" t="s">
        <v>61</v>
      </c>
      <c r="B18" s="28" t="n">
        <f aca="false">'إجمالي المشتغلين'!P27</f>
        <v>12438485</v>
      </c>
      <c r="C18" s="28" t="n">
        <f aca="false">'المشتغلون غير السعوديين'!P27</f>
        <v>9544713</v>
      </c>
      <c r="D18" s="28" t="n">
        <f aca="false">B18-C18</f>
        <v>2893772</v>
      </c>
      <c r="E18" s="29" t="n">
        <f aca="false">D18/B18</f>
        <v>0.232646660746868</v>
      </c>
      <c r="F18" s="29" t="n">
        <f aca="false">IFERROR(D18/D17-1,"")</f>
        <v>0.0224479275425149</v>
      </c>
    </row>
    <row r="19" customFormat="false" ht="15" hidden="false" customHeight="false" outlineLevel="0" collapsed="false">
      <c r="A19" s="27" t="s">
        <v>62</v>
      </c>
      <c r="B19" s="28" t="n">
        <f aca="false">'إجمالي المشتغلين'!Q27</f>
        <v>12798787</v>
      </c>
      <c r="C19" s="28" t="n">
        <f aca="false">'المشتغلون غير السعوديين'!Q27</f>
        <v>9882887</v>
      </c>
      <c r="D19" s="28" t="n">
        <f aca="false">B19-C19</f>
        <v>2915900</v>
      </c>
      <c r="E19" s="29" t="n">
        <f aca="false">D19/B19</f>
        <v>0.227826277599588</v>
      </c>
      <c r="F19" s="29" t="n">
        <f aca="false">IFERROR(D19/D18-1,"")</f>
        <v>0.00764676691874833</v>
      </c>
    </row>
    <row r="21" customFormat="false" ht="15" hidden="false" customHeight="false" outlineLevel="0" collapsed="false">
      <c r="A21" s="26" t="s">
        <v>63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17" min="2" style="0" width="13"/>
  </cols>
  <sheetData>
    <row r="1" customFormat="false" ht="18.65" hidden="false" customHeight="false" outlineLevel="0" collapsed="false">
      <c r="A1" s="1" t="s">
        <v>64</v>
      </c>
    </row>
    <row r="2" customFormat="false" ht="15" hidden="false" customHeight="false" outlineLevel="0" collapsed="false">
      <c r="A2" s="2" t="s">
        <v>65</v>
      </c>
    </row>
    <row r="4" customFormat="false" ht="33.75" hidden="false" customHeight="true" outlineLevel="0" collapsed="false">
      <c r="A4" s="8" t="s">
        <v>9</v>
      </c>
      <c r="B4" s="8" t="s">
        <v>48</v>
      </c>
      <c r="C4" s="8" t="s">
        <v>49</v>
      </c>
      <c r="D4" s="8" t="s">
        <v>50</v>
      </c>
      <c r="E4" s="8" t="s">
        <v>51</v>
      </c>
      <c r="F4" s="8" t="s">
        <v>52</v>
      </c>
      <c r="G4" s="8" t="s">
        <v>66</v>
      </c>
      <c r="H4" s="8" t="s">
        <v>53</v>
      </c>
      <c r="I4" s="8" t="s">
        <v>54</v>
      </c>
      <c r="J4" s="8" t="s">
        <v>55</v>
      </c>
      <c r="K4" s="8" t="s">
        <v>56</v>
      </c>
      <c r="L4" s="8" t="s">
        <v>57</v>
      </c>
      <c r="M4" s="8" t="s">
        <v>58</v>
      </c>
      <c r="N4" s="8" t="s">
        <v>59</v>
      </c>
      <c r="O4" s="8" t="s">
        <v>60</v>
      </c>
      <c r="P4" s="8" t="s">
        <v>61</v>
      </c>
      <c r="Q4" s="8" t="s">
        <v>62</v>
      </c>
    </row>
    <row r="5" customFormat="false" ht="15" hidden="false" customHeight="false" outlineLevel="0" collapsed="false">
      <c r="A5" s="16" t="s">
        <v>21</v>
      </c>
      <c r="B5" s="30" t="n">
        <v>103627</v>
      </c>
      <c r="C5" s="30" t="n">
        <v>102094</v>
      </c>
      <c r="D5" s="30" t="n">
        <v>106710</v>
      </c>
      <c r="E5" s="30" t="n">
        <v>132269</v>
      </c>
      <c r="F5" s="30" t="n">
        <v>181046</v>
      </c>
      <c r="G5" s="30"/>
      <c r="H5" s="30" t="n">
        <v>354795</v>
      </c>
      <c r="I5" s="30" t="n">
        <v>521309</v>
      </c>
      <c r="J5" s="30" t="n">
        <v>540603</v>
      </c>
      <c r="K5" s="30" t="n">
        <v>139654</v>
      </c>
      <c r="L5" s="30" t="n">
        <v>142402</v>
      </c>
      <c r="M5" s="30" t="n">
        <v>164292</v>
      </c>
      <c r="N5" s="30" t="n">
        <v>203475</v>
      </c>
      <c r="O5" s="30" t="n">
        <v>204897</v>
      </c>
      <c r="P5" s="30" t="n">
        <v>290672</v>
      </c>
      <c r="Q5" s="30" t="n">
        <v>341690</v>
      </c>
    </row>
    <row r="6" customFormat="false" ht="15" hidden="false" customHeight="false" outlineLevel="0" collapsed="false">
      <c r="A6" s="16" t="s">
        <v>22</v>
      </c>
      <c r="B6" s="30" t="n">
        <v>173230</v>
      </c>
      <c r="C6" s="30" t="n">
        <v>173224</v>
      </c>
      <c r="D6" s="30" t="n">
        <v>176650</v>
      </c>
      <c r="E6" s="30" t="n">
        <v>171620</v>
      </c>
      <c r="F6" s="30" t="n">
        <v>142153</v>
      </c>
      <c r="G6" s="30"/>
      <c r="H6" s="30" t="n">
        <v>141816</v>
      </c>
      <c r="I6" s="30" t="n">
        <v>146455</v>
      </c>
      <c r="J6" s="30" t="n">
        <v>157758</v>
      </c>
      <c r="K6" s="30" t="n">
        <v>160780</v>
      </c>
      <c r="L6" s="30" t="n">
        <v>166204</v>
      </c>
      <c r="M6" s="30" t="n">
        <v>173925</v>
      </c>
      <c r="N6" s="30" t="n">
        <v>186826</v>
      </c>
      <c r="O6" s="30" t="n">
        <v>197474</v>
      </c>
      <c r="P6" s="30" t="n">
        <v>220458</v>
      </c>
      <c r="Q6" s="30" t="n">
        <v>218088</v>
      </c>
    </row>
    <row r="7" customFormat="false" ht="15" hidden="false" customHeight="false" outlineLevel="0" collapsed="false">
      <c r="A7" s="16" t="s">
        <v>23</v>
      </c>
      <c r="B7" s="30" t="n">
        <v>827037</v>
      </c>
      <c r="C7" s="30" t="n">
        <v>830836</v>
      </c>
      <c r="D7" s="30" t="n">
        <v>852925</v>
      </c>
      <c r="E7" s="30" t="n">
        <v>892895</v>
      </c>
      <c r="F7" s="30" t="n">
        <v>943887</v>
      </c>
      <c r="G7" s="30"/>
      <c r="H7" s="30" t="n">
        <v>1033933</v>
      </c>
      <c r="I7" s="30" t="n">
        <v>1086782</v>
      </c>
      <c r="J7" s="30" t="n">
        <v>1123456</v>
      </c>
      <c r="K7" s="30" t="n">
        <v>1184551</v>
      </c>
      <c r="L7" s="30" t="n">
        <v>1211398</v>
      </c>
      <c r="M7" s="30" t="n">
        <v>1298422</v>
      </c>
      <c r="N7" s="30" t="n">
        <v>1341920</v>
      </c>
      <c r="O7" s="30" t="n">
        <v>1386764</v>
      </c>
      <c r="P7" s="30" t="n">
        <v>1515096</v>
      </c>
      <c r="Q7" s="30" t="n">
        <v>1576431</v>
      </c>
    </row>
    <row r="8" customFormat="false" ht="15" hidden="false" customHeight="false" outlineLevel="0" collapsed="false">
      <c r="A8" s="16" t="s">
        <v>24</v>
      </c>
      <c r="B8" s="30" t="n">
        <v>78442</v>
      </c>
      <c r="C8" s="30" t="n">
        <v>77763</v>
      </c>
      <c r="D8" s="30" t="n">
        <v>78129</v>
      </c>
      <c r="E8" s="30" t="n">
        <v>79442</v>
      </c>
      <c r="F8" s="30" t="n">
        <v>40157</v>
      </c>
      <c r="G8" s="30"/>
      <c r="H8" s="30" t="n">
        <v>39390</v>
      </c>
      <c r="I8" s="30" t="n">
        <v>39011</v>
      </c>
      <c r="J8" s="30" t="n">
        <v>38498</v>
      </c>
      <c r="K8" s="30" t="n">
        <v>38418</v>
      </c>
      <c r="L8" s="30" t="n">
        <v>39317</v>
      </c>
      <c r="M8" s="30" t="n">
        <v>40294</v>
      </c>
      <c r="N8" s="30" t="n">
        <v>46151</v>
      </c>
      <c r="O8" s="30" t="n">
        <v>46674</v>
      </c>
      <c r="P8" s="30" t="n">
        <v>49100</v>
      </c>
      <c r="Q8" s="30" t="n">
        <v>49862</v>
      </c>
    </row>
    <row r="9" customFormat="false" ht="15" hidden="false" customHeight="false" outlineLevel="0" collapsed="false">
      <c r="A9" s="16" t="s">
        <v>25</v>
      </c>
      <c r="B9" s="30" t="n">
        <v>23578</v>
      </c>
      <c r="C9" s="30" t="n">
        <v>23221</v>
      </c>
      <c r="D9" s="30" t="n">
        <v>23850</v>
      </c>
      <c r="E9" s="30" t="n">
        <v>29025</v>
      </c>
      <c r="F9" s="30" t="n">
        <v>87941</v>
      </c>
      <c r="G9" s="30"/>
      <c r="H9" s="30" t="n">
        <v>106556</v>
      </c>
      <c r="I9" s="30" t="n">
        <v>122329</v>
      </c>
      <c r="J9" s="30" t="n">
        <v>129086</v>
      </c>
      <c r="K9" s="30" t="n">
        <v>152013</v>
      </c>
      <c r="L9" s="30" t="n">
        <v>156994</v>
      </c>
      <c r="M9" s="30" t="n">
        <v>138035</v>
      </c>
      <c r="N9" s="30" t="n">
        <v>168219</v>
      </c>
      <c r="O9" s="30" t="n">
        <v>173128</v>
      </c>
      <c r="P9" s="30" t="n">
        <v>180363</v>
      </c>
      <c r="Q9" s="30" t="n">
        <v>179481</v>
      </c>
    </row>
    <row r="10" customFormat="false" ht="15" hidden="false" customHeight="false" outlineLevel="0" collapsed="false">
      <c r="A10" s="16" t="s">
        <v>26</v>
      </c>
      <c r="B10" s="30" t="n">
        <v>2029594</v>
      </c>
      <c r="C10" s="30" t="n">
        <v>1996612</v>
      </c>
      <c r="D10" s="30" t="n">
        <v>2058439</v>
      </c>
      <c r="E10" s="30" t="n">
        <v>2152344</v>
      </c>
      <c r="F10" s="30" t="n">
        <v>2453723</v>
      </c>
      <c r="G10" s="30"/>
      <c r="H10" s="30" t="n">
        <v>2460230</v>
      </c>
      <c r="I10" s="30" t="n">
        <v>2540702</v>
      </c>
      <c r="J10" s="30" t="n">
        <v>2541815</v>
      </c>
      <c r="K10" s="30" t="n">
        <v>2608274</v>
      </c>
      <c r="L10" s="30" t="n">
        <v>2617187</v>
      </c>
      <c r="M10" s="30" t="n">
        <v>2816018</v>
      </c>
      <c r="N10" s="30" t="n">
        <v>2894564</v>
      </c>
      <c r="O10" s="30" t="n">
        <v>2972737</v>
      </c>
      <c r="P10" s="30" t="n">
        <v>3246657</v>
      </c>
      <c r="Q10" s="30" t="n">
        <v>3396663</v>
      </c>
    </row>
    <row r="11" customFormat="false" ht="15" hidden="false" customHeight="false" outlineLevel="0" collapsed="false">
      <c r="A11" s="16" t="s">
        <v>27</v>
      </c>
      <c r="B11" s="30" t="n">
        <v>1828219</v>
      </c>
      <c r="C11" s="30" t="n">
        <v>1813880</v>
      </c>
      <c r="D11" s="30" t="n">
        <v>1790879</v>
      </c>
      <c r="E11" s="30" t="n">
        <v>1820040</v>
      </c>
      <c r="F11" s="30" t="n">
        <v>1719838</v>
      </c>
      <c r="G11" s="30"/>
      <c r="H11" s="30" t="n">
        <v>1626050</v>
      </c>
      <c r="I11" s="30" t="n">
        <v>1653550</v>
      </c>
      <c r="J11" s="30" t="n">
        <v>1629081</v>
      </c>
      <c r="K11" s="30" t="n">
        <v>1621497</v>
      </c>
      <c r="L11" s="30" t="n">
        <v>1616873</v>
      </c>
      <c r="M11" s="30" t="n">
        <v>1647023</v>
      </c>
      <c r="N11" s="30" t="n">
        <v>1648970</v>
      </c>
      <c r="O11" s="30" t="n">
        <v>1644350</v>
      </c>
      <c r="P11" s="30" t="n">
        <v>1732029</v>
      </c>
      <c r="Q11" s="30" t="n">
        <v>1753708</v>
      </c>
    </row>
    <row r="12" customFormat="false" ht="15" hidden="false" customHeight="false" outlineLevel="0" collapsed="false">
      <c r="A12" s="16" t="s">
        <v>28</v>
      </c>
      <c r="B12" s="30" t="n">
        <v>260938</v>
      </c>
      <c r="C12" s="30" t="n">
        <v>264794</v>
      </c>
      <c r="D12" s="30" t="n">
        <v>281064</v>
      </c>
      <c r="E12" s="30" t="n">
        <v>319753</v>
      </c>
      <c r="F12" s="30" t="n">
        <v>406735</v>
      </c>
      <c r="G12" s="30"/>
      <c r="H12" s="30" t="n">
        <v>439565</v>
      </c>
      <c r="I12" s="30" t="n">
        <v>459542</v>
      </c>
      <c r="J12" s="30" t="n">
        <v>467109</v>
      </c>
      <c r="K12" s="30" t="n">
        <v>494242</v>
      </c>
      <c r="L12" s="30" t="n">
        <v>503243</v>
      </c>
      <c r="M12" s="30" t="n">
        <v>550184</v>
      </c>
      <c r="N12" s="30" t="n">
        <v>566981</v>
      </c>
      <c r="O12" s="30" t="n">
        <v>592765</v>
      </c>
      <c r="P12" s="30" t="n">
        <v>756106</v>
      </c>
      <c r="Q12" s="30" t="n">
        <v>780243</v>
      </c>
    </row>
    <row r="13" customFormat="false" ht="15" hidden="false" customHeight="false" outlineLevel="0" collapsed="false">
      <c r="A13" s="16" t="s">
        <v>29</v>
      </c>
      <c r="B13" s="30" t="n">
        <v>381488</v>
      </c>
      <c r="C13" s="30" t="n">
        <v>390819</v>
      </c>
      <c r="D13" s="30" t="n">
        <v>555301</v>
      </c>
      <c r="E13" s="30" t="n">
        <v>671247</v>
      </c>
      <c r="F13" s="30" t="n">
        <v>653310</v>
      </c>
      <c r="G13" s="30"/>
      <c r="H13" s="30" t="n">
        <v>675154</v>
      </c>
      <c r="I13" s="30" t="n">
        <v>694182</v>
      </c>
      <c r="J13" s="30" t="n">
        <v>686139</v>
      </c>
      <c r="K13" s="30" t="n">
        <v>686468</v>
      </c>
      <c r="L13" s="30" t="n">
        <v>673976</v>
      </c>
      <c r="M13" s="30" t="n">
        <v>681367</v>
      </c>
      <c r="N13" s="30" t="n">
        <v>679540</v>
      </c>
      <c r="O13" s="30" t="n">
        <v>673835</v>
      </c>
      <c r="P13" s="30" t="n">
        <v>708196</v>
      </c>
      <c r="Q13" s="30" t="n">
        <v>714084</v>
      </c>
    </row>
    <row r="14" customFormat="false" ht="15" hidden="false" customHeight="false" outlineLevel="0" collapsed="false">
      <c r="A14" s="16" t="s">
        <v>30</v>
      </c>
      <c r="B14" s="30" t="n">
        <v>78762</v>
      </c>
      <c r="C14" s="30" t="n">
        <v>80821</v>
      </c>
      <c r="D14" s="30" t="n">
        <v>82149</v>
      </c>
      <c r="E14" s="30" t="n">
        <v>84090</v>
      </c>
      <c r="F14" s="30" t="n">
        <v>123491</v>
      </c>
      <c r="G14" s="30"/>
      <c r="H14" s="30" t="n">
        <v>123331</v>
      </c>
      <c r="I14" s="30" t="n">
        <v>123307</v>
      </c>
      <c r="J14" s="30" t="n">
        <v>118538</v>
      </c>
      <c r="K14" s="30" t="n">
        <v>106607</v>
      </c>
      <c r="L14" s="30" t="n">
        <v>104389</v>
      </c>
      <c r="M14" s="30" t="n">
        <v>110795</v>
      </c>
      <c r="N14" s="30" t="n">
        <v>111735</v>
      </c>
      <c r="O14" s="30" t="n">
        <v>113119</v>
      </c>
      <c r="P14" s="30" t="n">
        <v>120389</v>
      </c>
      <c r="Q14" s="30" t="n">
        <v>122356</v>
      </c>
    </row>
    <row r="15" customFormat="false" ht="15" hidden="false" customHeight="false" outlineLevel="0" collapsed="false">
      <c r="A15" s="16" t="s">
        <v>31</v>
      </c>
      <c r="B15" s="30" t="n">
        <v>76810</v>
      </c>
      <c r="C15" s="30" t="n">
        <v>77191</v>
      </c>
      <c r="D15" s="30" t="n">
        <v>77924</v>
      </c>
      <c r="E15" s="30" t="n">
        <v>79815</v>
      </c>
      <c r="F15" s="30" t="n">
        <v>88780</v>
      </c>
      <c r="G15" s="30"/>
      <c r="H15" s="30" t="n">
        <v>91291</v>
      </c>
      <c r="I15" s="30" t="n">
        <v>92274</v>
      </c>
      <c r="J15" s="30" t="n">
        <v>92610</v>
      </c>
      <c r="K15" s="30" t="n">
        <v>93314</v>
      </c>
      <c r="L15" s="30" t="n">
        <v>95184</v>
      </c>
      <c r="M15" s="30" t="n">
        <v>96478</v>
      </c>
      <c r="N15" s="30" t="n">
        <v>96916</v>
      </c>
      <c r="O15" s="30" t="n">
        <v>98607</v>
      </c>
      <c r="P15" s="30" t="n">
        <v>100115</v>
      </c>
      <c r="Q15" s="30" t="n">
        <v>101500</v>
      </c>
    </row>
    <row r="16" customFormat="false" ht="15" hidden="false" customHeight="false" outlineLevel="0" collapsed="false">
      <c r="A16" s="16" t="s">
        <v>32</v>
      </c>
      <c r="B16" s="30" t="n">
        <v>38134</v>
      </c>
      <c r="C16" s="30" t="n">
        <v>39207</v>
      </c>
      <c r="D16" s="30" t="n">
        <v>39303</v>
      </c>
      <c r="E16" s="30" t="n">
        <v>39807</v>
      </c>
      <c r="F16" s="30" t="n">
        <v>66181</v>
      </c>
      <c r="G16" s="30"/>
      <c r="H16" s="30" t="n">
        <v>54627</v>
      </c>
      <c r="I16" s="30" t="n">
        <v>55674</v>
      </c>
      <c r="J16" s="30" t="n">
        <v>54738</v>
      </c>
      <c r="K16" s="30" t="n">
        <v>53671</v>
      </c>
      <c r="L16" s="30" t="n">
        <v>52808</v>
      </c>
      <c r="M16" s="30" t="n">
        <v>54389</v>
      </c>
      <c r="N16" s="30" t="n">
        <v>53981</v>
      </c>
      <c r="O16" s="30" t="n">
        <v>53303</v>
      </c>
      <c r="P16" s="30" t="n">
        <v>55646</v>
      </c>
      <c r="Q16" s="30" t="n">
        <v>56703</v>
      </c>
    </row>
    <row r="17" customFormat="false" ht="15" hidden="false" customHeight="false" outlineLevel="0" collapsed="false">
      <c r="A17" s="16" t="s">
        <v>33</v>
      </c>
      <c r="B17" s="30" t="n">
        <v>131885</v>
      </c>
      <c r="C17" s="30" t="n">
        <v>133323</v>
      </c>
      <c r="D17" s="30" t="n">
        <v>138157</v>
      </c>
      <c r="E17" s="30" t="n">
        <v>153113</v>
      </c>
      <c r="F17" s="30" t="n">
        <v>196824</v>
      </c>
      <c r="G17" s="30"/>
      <c r="H17" s="30" t="n">
        <v>213687</v>
      </c>
      <c r="I17" s="30" t="n">
        <v>225340</v>
      </c>
      <c r="J17" s="30" t="n">
        <v>228288</v>
      </c>
      <c r="K17" s="30" t="n">
        <v>234837</v>
      </c>
      <c r="L17" s="30" t="n">
        <v>242103</v>
      </c>
      <c r="M17" s="30" t="n">
        <v>250588</v>
      </c>
      <c r="N17" s="30" t="n">
        <v>255021</v>
      </c>
      <c r="O17" s="30" t="n">
        <v>263531</v>
      </c>
      <c r="P17" s="30" t="n">
        <v>273228</v>
      </c>
      <c r="Q17" s="30" t="n">
        <v>277561</v>
      </c>
    </row>
    <row r="18" customFormat="false" ht="15" hidden="false" customHeight="false" outlineLevel="0" collapsed="false">
      <c r="A18" s="16" t="s">
        <v>34</v>
      </c>
      <c r="B18" s="30" t="n">
        <v>976024</v>
      </c>
      <c r="C18" s="30" t="n">
        <v>946426</v>
      </c>
      <c r="D18" s="30" t="n">
        <v>977737</v>
      </c>
      <c r="E18" s="30" t="n">
        <v>1012678</v>
      </c>
      <c r="F18" s="30" t="n">
        <v>1141367</v>
      </c>
      <c r="G18" s="30"/>
      <c r="H18" s="30" t="n">
        <v>1175278</v>
      </c>
      <c r="I18" s="30" t="n">
        <v>1204832</v>
      </c>
      <c r="J18" s="30" t="n">
        <v>1168552</v>
      </c>
      <c r="K18" s="30" t="n">
        <v>1130332</v>
      </c>
      <c r="L18" s="30" t="n">
        <v>1110940</v>
      </c>
      <c r="M18" s="30" t="n">
        <v>1156985</v>
      </c>
      <c r="N18" s="30" t="n">
        <v>1170302</v>
      </c>
      <c r="O18" s="30" t="n">
        <v>1196249</v>
      </c>
      <c r="P18" s="30" t="n">
        <v>1237396</v>
      </c>
      <c r="Q18" s="30" t="n">
        <v>1267077</v>
      </c>
    </row>
    <row r="19" customFormat="false" ht="15" hidden="false" customHeight="false" outlineLevel="0" collapsed="false">
      <c r="A19" s="16" t="s">
        <v>35</v>
      </c>
      <c r="B19" s="30" t="n">
        <v>264295</v>
      </c>
      <c r="C19" s="30" t="n">
        <v>272991</v>
      </c>
      <c r="D19" s="30" t="n">
        <v>295173</v>
      </c>
      <c r="E19" s="30" t="n">
        <v>297192</v>
      </c>
      <c r="F19" s="30" t="n">
        <v>264775</v>
      </c>
      <c r="G19" s="30"/>
      <c r="H19" s="30" t="n">
        <v>266467</v>
      </c>
      <c r="I19" s="30" t="n">
        <v>267708</v>
      </c>
      <c r="J19" s="30" t="n">
        <v>271363</v>
      </c>
      <c r="K19" s="30" t="n">
        <v>278501</v>
      </c>
      <c r="L19" s="30" t="n">
        <v>284829</v>
      </c>
      <c r="M19" s="30" t="n">
        <v>289434</v>
      </c>
      <c r="N19" s="30" t="n">
        <v>282128</v>
      </c>
      <c r="O19" s="30" t="n">
        <v>289351</v>
      </c>
      <c r="P19" s="30" t="n">
        <v>295254</v>
      </c>
      <c r="Q19" s="30" t="n">
        <v>300533</v>
      </c>
    </row>
    <row r="20" customFormat="false" ht="15" hidden="false" customHeight="false" outlineLevel="0" collapsed="false">
      <c r="A20" s="16" t="s">
        <v>36</v>
      </c>
      <c r="B20" s="30" t="n">
        <v>122705</v>
      </c>
      <c r="C20" s="30" t="n">
        <v>135359</v>
      </c>
      <c r="D20" s="30" t="n">
        <v>140899</v>
      </c>
      <c r="E20" s="30" t="n">
        <v>146434</v>
      </c>
      <c r="F20" s="30" t="n">
        <v>171808</v>
      </c>
      <c r="G20" s="30"/>
      <c r="H20" s="30" t="n">
        <v>180694</v>
      </c>
      <c r="I20" s="30" t="n">
        <v>184775</v>
      </c>
      <c r="J20" s="30" t="n">
        <v>177190</v>
      </c>
      <c r="K20" s="30" t="n">
        <v>194591</v>
      </c>
      <c r="L20" s="30" t="n">
        <v>197448</v>
      </c>
      <c r="M20" s="30" t="n">
        <v>202219</v>
      </c>
      <c r="N20" s="30" t="n">
        <v>188489</v>
      </c>
      <c r="O20" s="30" t="n">
        <v>207694</v>
      </c>
      <c r="P20" s="30" t="n">
        <v>294727</v>
      </c>
      <c r="Q20" s="30" t="n">
        <v>292239</v>
      </c>
    </row>
    <row r="21" customFormat="false" ht="15" hidden="false" customHeight="false" outlineLevel="0" collapsed="false">
      <c r="A21" s="16" t="s">
        <v>37</v>
      </c>
      <c r="B21" s="30" t="n">
        <v>436670</v>
      </c>
      <c r="C21" s="30" t="n">
        <v>444930</v>
      </c>
      <c r="D21" s="30" t="n">
        <v>470352</v>
      </c>
      <c r="E21" s="30" t="n">
        <v>407099</v>
      </c>
      <c r="F21" s="30" t="n">
        <v>413245</v>
      </c>
      <c r="G21" s="30"/>
      <c r="H21" s="30" t="n">
        <v>440396</v>
      </c>
      <c r="I21" s="30" t="n">
        <v>452352</v>
      </c>
      <c r="J21" s="30" t="n">
        <v>443553</v>
      </c>
      <c r="K21" s="30" t="n">
        <v>448359</v>
      </c>
      <c r="L21" s="30" t="n">
        <v>448222</v>
      </c>
      <c r="M21" s="30" t="n">
        <v>453900</v>
      </c>
      <c r="N21" s="30" t="n">
        <v>448912</v>
      </c>
      <c r="O21" s="30" t="n">
        <v>457315</v>
      </c>
      <c r="P21" s="30" t="n">
        <v>463194</v>
      </c>
      <c r="Q21" s="30" t="n">
        <v>466499</v>
      </c>
    </row>
    <row r="22" customFormat="false" ht="15" hidden="false" customHeight="false" outlineLevel="0" collapsed="false">
      <c r="A22" s="16" t="s">
        <v>38</v>
      </c>
      <c r="B22" s="30" t="n">
        <v>28124</v>
      </c>
      <c r="C22" s="30" t="n">
        <v>29325</v>
      </c>
      <c r="D22" s="30" t="n">
        <v>29992</v>
      </c>
      <c r="E22" s="30" t="n">
        <v>31667</v>
      </c>
      <c r="F22" s="30" t="n">
        <v>29288</v>
      </c>
      <c r="G22" s="30"/>
      <c r="H22" s="30" t="n">
        <v>32338</v>
      </c>
      <c r="I22" s="30" t="n">
        <v>33509</v>
      </c>
      <c r="J22" s="30" t="n">
        <v>32748</v>
      </c>
      <c r="K22" s="30" t="n">
        <v>32242</v>
      </c>
      <c r="L22" s="30" t="n">
        <v>32069</v>
      </c>
      <c r="M22" s="30" t="n">
        <v>32572</v>
      </c>
      <c r="N22" s="30" t="n">
        <v>32671</v>
      </c>
      <c r="O22" s="30" t="n">
        <v>33166</v>
      </c>
      <c r="P22" s="30" t="n">
        <v>40961</v>
      </c>
      <c r="Q22" s="30" t="n">
        <v>41689</v>
      </c>
    </row>
    <row r="23" customFormat="false" ht="15" hidden="false" customHeight="false" outlineLevel="0" collapsed="false">
      <c r="A23" s="16" t="s">
        <v>39</v>
      </c>
      <c r="B23" s="30" t="n">
        <v>210010</v>
      </c>
      <c r="C23" s="30" t="n">
        <v>208242</v>
      </c>
      <c r="D23" s="30" t="n">
        <v>209986</v>
      </c>
      <c r="E23" s="30" t="n">
        <v>244155</v>
      </c>
      <c r="F23" s="30" t="n">
        <v>257284</v>
      </c>
      <c r="G23" s="30"/>
      <c r="H23" s="30" t="n">
        <v>237962</v>
      </c>
      <c r="I23" s="30" t="n">
        <v>239385</v>
      </c>
      <c r="J23" s="30" t="n">
        <v>235915</v>
      </c>
      <c r="K23" s="30" t="n">
        <v>234478</v>
      </c>
      <c r="L23" s="30" t="n">
        <v>230526</v>
      </c>
      <c r="M23" s="30" t="n">
        <v>242973</v>
      </c>
      <c r="N23" s="30" t="n">
        <v>250886</v>
      </c>
      <c r="O23" s="30" t="n">
        <v>253536</v>
      </c>
      <c r="P23" s="30" t="n">
        <v>273158</v>
      </c>
      <c r="Q23" s="30" t="n">
        <v>281093</v>
      </c>
    </row>
    <row r="24" customFormat="false" ht="15" hidden="false" customHeight="false" outlineLevel="0" collapsed="false">
      <c r="A24" s="16" t="s">
        <v>40</v>
      </c>
      <c r="B24" s="30" t="n">
        <v>145</v>
      </c>
      <c r="C24" s="30" t="n">
        <v>148</v>
      </c>
      <c r="D24" s="30" t="n">
        <v>224</v>
      </c>
      <c r="E24" s="30" t="n">
        <v>246</v>
      </c>
      <c r="F24" s="30" t="n">
        <v>106</v>
      </c>
      <c r="G24" s="30"/>
      <c r="H24" s="30" t="n">
        <v>94</v>
      </c>
      <c r="I24" s="30" t="n">
        <v>85</v>
      </c>
      <c r="J24" s="30" t="n">
        <v>89</v>
      </c>
      <c r="K24" s="30" t="n">
        <v>88</v>
      </c>
      <c r="L24" s="30" t="n">
        <v>86</v>
      </c>
      <c r="M24" s="30" t="n">
        <v>83</v>
      </c>
      <c r="N24" s="30" t="n">
        <v>77</v>
      </c>
      <c r="O24" s="30" t="n">
        <v>90</v>
      </c>
      <c r="P24" s="30" t="n">
        <v>102</v>
      </c>
      <c r="Q24" s="30" t="n">
        <v>109</v>
      </c>
    </row>
    <row r="25" customFormat="false" ht="15" hidden="false" customHeight="false" outlineLevel="0" collapsed="false">
      <c r="A25" s="16" t="s">
        <v>41</v>
      </c>
      <c r="B25" s="30" t="n">
        <v>1575</v>
      </c>
      <c r="C25" s="30" t="n">
        <v>1627</v>
      </c>
      <c r="D25" s="30" t="n">
        <v>1748</v>
      </c>
      <c r="E25" s="30" t="n">
        <v>1854</v>
      </c>
      <c r="F25" s="30" t="n">
        <v>844</v>
      </c>
      <c r="G25" s="30"/>
      <c r="H25" s="30" t="n">
        <v>859</v>
      </c>
      <c r="I25" s="30" t="n">
        <v>838</v>
      </c>
      <c r="J25" s="30" t="n">
        <v>830</v>
      </c>
      <c r="K25" s="30" t="n">
        <v>833</v>
      </c>
      <c r="L25" s="30" t="n">
        <v>473</v>
      </c>
      <c r="M25" s="30" t="n">
        <v>487</v>
      </c>
      <c r="N25" s="30" t="n">
        <v>497</v>
      </c>
      <c r="O25" s="30" t="n">
        <v>495</v>
      </c>
      <c r="P25" s="30" t="n">
        <v>396</v>
      </c>
      <c r="Q25" s="30" t="n">
        <v>393</v>
      </c>
    </row>
    <row r="26" customFormat="false" ht="15" hidden="false" customHeight="false" outlineLevel="0" collapsed="false">
      <c r="A26" s="16" t="s">
        <v>42</v>
      </c>
      <c r="B26" s="30" t="n">
        <v>118878</v>
      </c>
      <c r="C26" s="30" t="n">
        <v>115552</v>
      </c>
      <c r="D26" s="30" t="n">
        <v>143717</v>
      </c>
      <c r="E26" s="30" t="n">
        <v>329694</v>
      </c>
      <c r="F26" s="30" t="n">
        <v>158839</v>
      </c>
      <c r="G26" s="30"/>
      <c r="H26" s="30" t="n">
        <v>228525</v>
      </c>
      <c r="I26" s="30" t="n">
        <v>295094</v>
      </c>
      <c r="J26" s="30" t="n">
        <v>357127</v>
      </c>
      <c r="K26" s="30" t="n">
        <v>919238</v>
      </c>
      <c r="L26" s="30" t="n">
        <v>916062</v>
      </c>
      <c r="M26" s="30" t="n">
        <v>992969</v>
      </c>
      <c r="N26" s="30" t="n">
        <v>1078502</v>
      </c>
      <c r="O26" s="30" t="n">
        <v>1149578</v>
      </c>
      <c r="P26" s="30" t="n">
        <v>585242</v>
      </c>
      <c r="Q26" s="30" t="n">
        <v>580785</v>
      </c>
    </row>
    <row r="27" customFormat="false" ht="15" hidden="false" customHeight="false" outlineLevel="0" collapsed="false">
      <c r="A27" s="22" t="s">
        <v>43</v>
      </c>
      <c r="B27" s="23" t="n">
        <f aca="false">IF(COUNT(B5:B26)=0,"",SUM(B5:B26))</f>
        <v>8190170</v>
      </c>
      <c r="C27" s="23" t="n">
        <f aca="false">IF(COUNT(C5:C26)=0,"",SUM(C5:C26))</f>
        <v>8158385</v>
      </c>
      <c r="D27" s="23" t="n">
        <f aca="false">IF(COUNT(D5:D26)=0,"",SUM(D5:D26))</f>
        <v>8531308</v>
      </c>
      <c r="E27" s="23" t="n">
        <f aca="false">IF(COUNT(E5:E26)=0,"",SUM(E5:E26))</f>
        <v>9096479</v>
      </c>
      <c r="F27" s="23" t="n">
        <f aca="false">IF(COUNT(F5:F26)=0,"",SUM(F5:F26))</f>
        <v>9541622</v>
      </c>
      <c r="G27" s="23" t="str">
        <f aca="false">IF(COUNT(G5:G26)=0,"",SUM(G5:G26))</f>
        <v/>
      </c>
      <c r="H27" s="23" t="n">
        <f aca="false">IF(COUNT(H5:H26)=0,"",SUM(H5:H26))</f>
        <v>9923038</v>
      </c>
      <c r="I27" s="23" t="n">
        <f aca="false">IF(COUNT(I5:I26)=0,"",SUM(I5:I26))</f>
        <v>10439035</v>
      </c>
      <c r="J27" s="23" t="n">
        <f aca="false">IF(COUNT(J5:J26)=0,"",SUM(J5:J26))</f>
        <v>10495086</v>
      </c>
      <c r="K27" s="23" t="n">
        <f aca="false">IF(COUNT(K5:K26)=0,"",SUM(K5:K26))</f>
        <v>10812988</v>
      </c>
      <c r="L27" s="23" t="n">
        <f aca="false">IF(COUNT(L5:L26)=0,"",SUM(L5:L26))</f>
        <v>10842733</v>
      </c>
      <c r="M27" s="23" t="n">
        <f aca="false">IF(COUNT(M5:M26)=0,"",SUM(M5:M26))</f>
        <v>11393432</v>
      </c>
      <c r="N27" s="23" t="n">
        <f aca="false">IF(COUNT(N5:N26)=0,"",SUM(N5:N26))</f>
        <v>11706763</v>
      </c>
      <c r="O27" s="23" t="n">
        <f aca="false">IF(COUNT(O5:O26)=0,"",SUM(O5:O26))</f>
        <v>12008658</v>
      </c>
      <c r="P27" s="23" t="n">
        <f aca="false">IF(COUNT(P5:P26)=0,"",SUM(P5:P26))</f>
        <v>12438485</v>
      </c>
      <c r="Q27" s="23" t="n">
        <f aca="false">IF(COUNT(Q5:Q26)=0,"",SUM(Q5:Q26))</f>
        <v>12798787</v>
      </c>
    </row>
    <row r="29" customFormat="false" ht="15" hidden="false" customHeight="false" outlineLevel="0" collapsed="false">
      <c r="A29" s="26" t="s">
        <v>67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17" min="2" style="0" width="13"/>
  </cols>
  <sheetData>
    <row r="1" customFormat="false" ht="19.7" hidden="false" customHeight="false" outlineLevel="0" collapsed="false">
      <c r="A1" s="1" t="s">
        <v>68</v>
      </c>
    </row>
    <row r="2" customFormat="false" ht="15" hidden="false" customHeight="false" outlineLevel="0" collapsed="false">
      <c r="A2" s="2" t="s">
        <v>65</v>
      </c>
    </row>
    <row r="4" customFormat="false" ht="33.75" hidden="false" customHeight="true" outlineLevel="0" collapsed="false">
      <c r="A4" s="8" t="s">
        <v>9</v>
      </c>
      <c r="B4" s="8" t="s">
        <v>48</v>
      </c>
      <c r="C4" s="8" t="s">
        <v>49</v>
      </c>
      <c r="D4" s="8" t="s">
        <v>50</v>
      </c>
      <c r="E4" s="8" t="s">
        <v>51</v>
      </c>
      <c r="F4" s="8" t="s">
        <v>52</v>
      </c>
      <c r="G4" s="8" t="s">
        <v>66</v>
      </c>
      <c r="H4" s="8" t="s">
        <v>53</v>
      </c>
      <c r="I4" s="8" t="s">
        <v>54</v>
      </c>
      <c r="J4" s="8" t="s">
        <v>55</v>
      </c>
      <c r="K4" s="8" t="s">
        <v>56</v>
      </c>
      <c r="L4" s="8" t="s">
        <v>57</v>
      </c>
      <c r="M4" s="8" t="s">
        <v>58</v>
      </c>
      <c r="N4" s="8" t="s">
        <v>59</v>
      </c>
      <c r="O4" s="8" t="s">
        <v>60</v>
      </c>
      <c r="P4" s="8" t="s">
        <v>61</v>
      </c>
      <c r="Q4" s="8" t="s">
        <v>62</v>
      </c>
    </row>
    <row r="5" customFormat="false" ht="15" hidden="false" customHeight="false" outlineLevel="0" collapsed="false">
      <c r="A5" s="16" t="s">
        <v>21</v>
      </c>
      <c r="B5" s="30" t="n">
        <v>87361</v>
      </c>
      <c r="C5" s="30" t="n">
        <v>85806</v>
      </c>
      <c r="D5" s="30" t="n">
        <v>90183</v>
      </c>
      <c r="E5" s="30" t="n">
        <v>114724</v>
      </c>
      <c r="F5" s="30" t="n">
        <v>158234</v>
      </c>
      <c r="G5" s="30"/>
      <c r="H5" s="30" t="n">
        <v>329267</v>
      </c>
      <c r="I5" s="30" t="n">
        <v>495115</v>
      </c>
      <c r="J5" s="30" t="n">
        <v>516859</v>
      </c>
      <c r="K5" s="30" t="n">
        <v>120078</v>
      </c>
      <c r="L5" s="30" t="n">
        <v>121665</v>
      </c>
      <c r="M5" s="30" t="n">
        <v>143492</v>
      </c>
      <c r="N5" s="30" t="n">
        <v>179181</v>
      </c>
      <c r="O5" s="30" t="n">
        <v>180956</v>
      </c>
      <c r="P5" s="30" t="n">
        <v>260485</v>
      </c>
      <c r="Q5" s="30" t="n">
        <v>309326</v>
      </c>
    </row>
    <row r="6" customFormat="false" ht="15" hidden="false" customHeight="false" outlineLevel="0" collapsed="false">
      <c r="A6" s="16" t="s">
        <v>22</v>
      </c>
      <c r="B6" s="30" t="n">
        <v>62227</v>
      </c>
      <c r="C6" s="30" t="n">
        <v>61459</v>
      </c>
      <c r="D6" s="30" t="n">
        <v>62230</v>
      </c>
      <c r="E6" s="30" t="n">
        <v>58220</v>
      </c>
      <c r="F6" s="30" t="n">
        <v>40509</v>
      </c>
      <c r="G6" s="30"/>
      <c r="H6" s="30" t="n">
        <v>36599</v>
      </c>
      <c r="I6" s="30" t="n">
        <v>39424</v>
      </c>
      <c r="J6" s="30" t="n">
        <v>47402</v>
      </c>
      <c r="K6" s="30" t="n">
        <v>49174</v>
      </c>
      <c r="L6" s="30" t="n">
        <v>51940</v>
      </c>
      <c r="M6" s="30" t="n">
        <v>57965</v>
      </c>
      <c r="N6" s="30" t="n">
        <v>68646</v>
      </c>
      <c r="O6" s="30" t="n">
        <v>77780</v>
      </c>
      <c r="P6" s="30" t="n">
        <v>96875</v>
      </c>
      <c r="Q6" s="30" t="n">
        <v>95109</v>
      </c>
    </row>
    <row r="7" customFormat="false" ht="15" hidden="false" customHeight="false" outlineLevel="0" collapsed="false">
      <c r="A7" s="16" t="s">
        <v>23</v>
      </c>
      <c r="B7" s="30" t="n">
        <v>613277</v>
      </c>
      <c r="C7" s="30" t="n">
        <v>611982</v>
      </c>
      <c r="D7" s="30" t="n">
        <v>627008</v>
      </c>
      <c r="E7" s="30" t="n">
        <v>657697</v>
      </c>
      <c r="F7" s="30" t="n">
        <v>708428</v>
      </c>
      <c r="G7" s="30"/>
      <c r="H7" s="30" t="n">
        <v>778389</v>
      </c>
      <c r="I7" s="30" t="n">
        <v>810469</v>
      </c>
      <c r="J7" s="30" t="n">
        <v>827488</v>
      </c>
      <c r="K7" s="30" t="n">
        <v>860211</v>
      </c>
      <c r="L7" s="30" t="n">
        <v>866598</v>
      </c>
      <c r="M7" s="30" t="n">
        <v>939706</v>
      </c>
      <c r="N7" s="30" t="n">
        <v>971814</v>
      </c>
      <c r="O7" s="30" t="n">
        <v>1006783</v>
      </c>
      <c r="P7" s="30" t="n">
        <v>1110221</v>
      </c>
      <c r="Q7" s="30" t="n">
        <v>1168267</v>
      </c>
    </row>
    <row r="8" customFormat="false" ht="15" hidden="false" customHeight="false" outlineLevel="0" collapsed="false">
      <c r="A8" s="16" t="s">
        <v>24</v>
      </c>
      <c r="B8" s="30" t="n">
        <v>37410</v>
      </c>
      <c r="C8" s="30" t="n">
        <v>36521</v>
      </c>
      <c r="D8" s="30" t="n">
        <v>36533</v>
      </c>
      <c r="E8" s="30" t="n">
        <v>37377</v>
      </c>
      <c r="F8" s="30" t="n">
        <v>6516</v>
      </c>
      <c r="G8" s="30"/>
      <c r="H8" s="30" t="n">
        <v>6220</v>
      </c>
      <c r="I8" s="30" t="n">
        <v>6316</v>
      </c>
      <c r="J8" s="30" t="n">
        <v>6378</v>
      </c>
      <c r="K8" s="30" t="n">
        <v>6837</v>
      </c>
      <c r="L8" s="30" t="n">
        <v>7623</v>
      </c>
      <c r="M8" s="30" t="n">
        <v>8800</v>
      </c>
      <c r="N8" s="30" t="n">
        <v>12503</v>
      </c>
      <c r="O8" s="30" t="n">
        <v>13161</v>
      </c>
      <c r="P8" s="30" t="n">
        <v>14607</v>
      </c>
      <c r="Q8" s="30" t="n">
        <v>15237</v>
      </c>
    </row>
    <row r="9" customFormat="false" ht="15" hidden="false" customHeight="false" outlineLevel="0" collapsed="false">
      <c r="A9" s="16" t="s">
        <v>25</v>
      </c>
      <c r="B9" s="30" t="n">
        <v>18306</v>
      </c>
      <c r="C9" s="30" t="n">
        <v>17885</v>
      </c>
      <c r="D9" s="30" t="n">
        <v>18283</v>
      </c>
      <c r="E9" s="30" t="n">
        <v>21585</v>
      </c>
      <c r="F9" s="30" t="n">
        <v>69590</v>
      </c>
      <c r="G9" s="30"/>
      <c r="H9" s="30" t="n">
        <v>86157</v>
      </c>
      <c r="I9" s="30" t="n">
        <v>100914</v>
      </c>
      <c r="J9" s="30" t="n">
        <v>107210</v>
      </c>
      <c r="K9" s="30" t="n">
        <v>126842</v>
      </c>
      <c r="L9" s="30" t="n">
        <v>130018</v>
      </c>
      <c r="M9" s="30" t="n">
        <v>115375</v>
      </c>
      <c r="N9" s="30" t="n">
        <v>133381</v>
      </c>
      <c r="O9" s="30" t="n">
        <v>137368</v>
      </c>
      <c r="P9" s="30" t="n">
        <v>143692</v>
      </c>
      <c r="Q9" s="30" t="n">
        <v>142836</v>
      </c>
    </row>
    <row r="10" customFormat="false" ht="15" hidden="false" customHeight="false" outlineLevel="0" collapsed="false">
      <c r="A10" s="16" t="s">
        <v>26</v>
      </c>
      <c r="B10" s="30" t="n">
        <v>1742895</v>
      </c>
      <c r="C10" s="30" t="n">
        <v>1705712</v>
      </c>
      <c r="D10" s="30" t="n">
        <v>1755671</v>
      </c>
      <c r="E10" s="30" t="n">
        <v>1834116</v>
      </c>
      <c r="F10" s="30" t="n">
        <v>2105858</v>
      </c>
      <c r="G10" s="30"/>
      <c r="H10" s="30" t="n">
        <v>2090698</v>
      </c>
      <c r="I10" s="30" t="n">
        <v>2172686</v>
      </c>
      <c r="J10" s="30" t="n">
        <v>2176449</v>
      </c>
      <c r="K10" s="30" t="n">
        <v>2227945</v>
      </c>
      <c r="L10" s="30" t="n">
        <v>2233402</v>
      </c>
      <c r="M10" s="30" t="n">
        <v>2418405</v>
      </c>
      <c r="N10" s="30" t="n">
        <v>2494244</v>
      </c>
      <c r="O10" s="30" t="n">
        <v>2562464</v>
      </c>
      <c r="P10" s="30" t="n">
        <v>2820589</v>
      </c>
      <c r="Q10" s="30" t="n">
        <v>2962223</v>
      </c>
    </row>
    <row r="11" customFormat="false" ht="15" hidden="false" customHeight="false" outlineLevel="0" collapsed="false">
      <c r="A11" s="16" t="s">
        <v>27</v>
      </c>
      <c r="B11" s="30" t="n">
        <v>1382250</v>
      </c>
      <c r="C11" s="30" t="n">
        <v>1353746</v>
      </c>
      <c r="D11" s="30" t="n">
        <v>1330197</v>
      </c>
      <c r="E11" s="30" t="n">
        <v>1338295</v>
      </c>
      <c r="F11" s="30" t="n">
        <v>1288581</v>
      </c>
      <c r="G11" s="30"/>
      <c r="H11" s="30" t="n">
        <v>1205767</v>
      </c>
      <c r="I11" s="30" t="n">
        <v>1228816</v>
      </c>
      <c r="J11" s="30" t="n">
        <v>1210761</v>
      </c>
      <c r="K11" s="30" t="n">
        <v>1208148</v>
      </c>
      <c r="L11" s="30" t="n">
        <v>1205372</v>
      </c>
      <c r="M11" s="30" t="n">
        <v>1241277</v>
      </c>
      <c r="N11" s="30" t="n">
        <v>1252451</v>
      </c>
      <c r="O11" s="30" t="n">
        <v>1253248</v>
      </c>
      <c r="P11" s="30" t="n">
        <v>1336936</v>
      </c>
      <c r="Q11" s="30" t="n">
        <v>1361689</v>
      </c>
    </row>
    <row r="12" customFormat="false" ht="15" hidden="false" customHeight="false" outlineLevel="0" collapsed="false">
      <c r="A12" s="16" t="s">
        <v>28</v>
      </c>
      <c r="B12" s="30" t="n">
        <v>193485</v>
      </c>
      <c r="C12" s="30" t="n">
        <v>193817</v>
      </c>
      <c r="D12" s="30" t="n">
        <v>205458</v>
      </c>
      <c r="E12" s="30" t="n">
        <v>233721</v>
      </c>
      <c r="F12" s="30" t="n">
        <v>298939</v>
      </c>
      <c r="G12" s="30"/>
      <c r="H12" s="30" t="n">
        <v>319993</v>
      </c>
      <c r="I12" s="30" t="n">
        <v>335369</v>
      </c>
      <c r="J12" s="30" t="n">
        <v>339805</v>
      </c>
      <c r="K12" s="30" t="n">
        <v>363482</v>
      </c>
      <c r="L12" s="30" t="n">
        <v>370573</v>
      </c>
      <c r="M12" s="30" t="n">
        <v>412744</v>
      </c>
      <c r="N12" s="30" t="n">
        <v>429590</v>
      </c>
      <c r="O12" s="30" t="n">
        <v>451537</v>
      </c>
      <c r="P12" s="30" t="n">
        <v>607845</v>
      </c>
      <c r="Q12" s="30" t="n">
        <v>629132</v>
      </c>
    </row>
    <row r="13" customFormat="false" ht="15" hidden="false" customHeight="false" outlineLevel="0" collapsed="false">
      <c r="A13" s="16" t="s">
        <v>29</v>
      </c>
      <c r="B13" s="30" t="n">
        <v>306689</v>
      </c>
      <c r="C13" s="30" t="n">
        <v>310997</v>
      </c>
      <c r="D13" s="30" t="n">
        <v>439731</v>
      </c>
      <c r="E13" s="30" t="n">
        <v>521987</v>
      </c>
      <c r="F13" s="30" t="n">
        <v>511858</v>
      </c>
      <c r="G13" s="30"/>
      <c r="H13" s="30" t="n">
        <v>525044</v>
      </c>
      <c r="I13" s="30" t="n">
        <v>543139</v>
      </c>
      <c r="J13" s="30" t="n">
        <v>536229</v>
      </c>
      <c r="K13" s="30" t="n">
        <v>537183</v>
      </c>
      <c r="L13" s="30" t="n">
        <v>526551</v>
      </c>
      <c r="M13" s="30" t="n">
        <v>537539</v>
      </c>
      <c r="N13" s="30" t="n">
        <v>538446</v>
      </c>
      <c r="O13" s="30" t="n">
        <v>536782</v>
      </c>
      <c r="P13" s="30" t="n">
        <v>569825</v>
      </c>
      <c r="Q13" s="30" t="n">
        <v>576931</v>
      </c>
    </row>
    <row r="14" customFormat="false" ht="15" hidden="false" customHeight="false" outlineLevel="0" collapsed="false">
      <c r="A14" s="16" t="s">
        <v>30</v>
      </c>
      <c r="B14" s="30" t="n">
        <v>37643</v>
      </c>
      <c r="C14" s="30" t="n">
        <v>38492</v>
      </c>
      <c r="D14" s="30" t="n">
        <v>38056</v>
      </c>
      <c r="E14" s="30" t="n">
        <v>38163</v>
      </c>
      <c r="F14" s="30" t="n">
        <v>49573</v>
      </c>
      <c r="G14" s="30"/>
      <c r="H14" s="30" t="n">
        <v>46617</v>
      </c>
      <c r="I14" s="30" t="n">
        <v>47524</v>
      </c>
      <c r="J14" s="30" t="n">
        <v>46256</v>
      </c>
      <c r="K14" s="30" t="n">
        <v>45484</v>
      </c>
      <c r="L14" s="30" t="n">
        <v>45000</v>
      </c>
      <c r="M14" s="30" t="n">
        <v>47827</v>
      </c>
      <c r="N14" s="30" t="n">
        <v>48515</v>
      </c>
      <c r="O14" s="30" t="n">
        <v>49135</v>
      </c>
      <c r="P14" s="30" t="n">
        <v>54671</v>
      </c>
      <c r="Q14" s="30" t="n">
        <v>54920</v>
      </c>
    </row>
    <row r="15" customFormat="false" ht="15" hidden="false" customHeight="false" outlineLevel="0" collapsed="false">
      <c r="A15" s="16" t="s">
        <v>31</v>
      </c>
      <c r="B15" s="30" t="n">
        <v>12611</v>
      </c>
      <c r="C15" s="30" t="n">
        <v>12549</v>
      </c>
      <c r="D15" s="30" t="n">
        <v>12895</v>
      </c>
      <c r="E15" s="30" t="n">
        <v>13361</v>
      </c>
      <c r="F15" s="30" t="n">
        <v>16840</v>
      </c>
      <c r="G15" s="30"/>
      <c r="H15" s="30" t="n">
        <v>16290</v>
      </c>
      <c r="I15" s="30" t="n">
        <v>16522</v>
      </c>
      <c r="J15" s="30" t="n">
        <v>16287</v>
      </c>
      <c r="K15" s="30" t="n">
        <v>16542</v>
      </c>
      <c r="L15" s="30" t="n">
        <v>16602</v>
      </c>
      <c r="M15" s="30" t="n">
        <v>16867</v>
      </c>
      <c r="N15" s="30" t="n">
        <v>16845</v>
      </c>
      <c r="O15" s="30" t="n">
        <v>16892</v>
      </c>
      <c r="P15" s="30" t="n">
        <v>17163</v>
      </c>
      <c r="Q15" s="30" t="n">
        <v>17204</v>
      </c>
    </row>
    <row r="16" customFormat="false" ht="15" hidden="false" customHeight="false" outlineLevel="0" collapsed="false">
      <c r="A16" s="16" t="s">
        <v>32</v>
      </c>
      <c r="B16" s="30" t="n">
        <v>24553</v>
      </c>
      <c r="C16" s="30" t="n">
        <v>24763</v>
      </c>
      <c r="D16" s="30" t="n">
        <v>24420</v>
      </c>
      <c r="E16" s="30" t="n">
        <v>24066</v>
      </c>
      <c r="F16" s="30" t="n">
        <v>41504</v>
      </c>
      <c r="G16" s="30"/>
      <c r="H16" s="30" t="n">
        <v>31702</v>
      </c>
      <c r="I16" s="30" t="n">
        <v>32236</v>
      </c>
      <c r="J16" s="30" t="n">
        <v>31885</v>
      </c>
      <c r="K16" s="30" t="n">
        <v>31464</v>
      </c>
      <c r="L16" s="30" t="n">
        <v>31152</v>
      </c>
      <c r="M16" s="30" t="n">
        <v>32704</v>
      </c>
      <c r="N16" s="30" t="n">
        <v>32557</v>
      </c>
      <c r="O16" s="30" t="n">
        <v>32157</v>
      </c>
      <c r="P16" s="30" t="n">
        <v>34296</v>
      </c>
      <c r="Q16" s="30" t="n">
        <v>34771</v>
      </c>
    </row>
    <row r="17" customFormat="false" ht="15" hidden="false" customHeight="false" outlineLevel="0" collapsed="false">
      <c r="A17" s="16" t="s">
        <v>33</v>
      </c>
      <c r="B17" s="30" t="n">
        <v>87325</v>
      </c>
      <c r="C17" s="30" t="n">
        <v>86903</v>
      </c>
      <c r="D17" s="30" t="n">
        <v>88300</v>
      </c>
      <c r="E17" s="30" t="n">
        <v>94998</v>
      </c>
      <c r="F17" s="30" t="n">
        <v>112818</v>
      </c>
      <c r="G17" s="30"/>
      <c r="H17" s="30" t="n">
        <v>107904</v>
      </c>
      <c r="I17" s="30" t="n">
        <v>111935</v>
      </c>
      <c r="J17" s="30" t="n">
        <v>112984</v>
      </c>
      <c r="K17" s="30" t="n">
        <v>115985</v>
      </c>
      <c r="L17" s="30" t="n">
        <v>120029</v>
      </c>
      <c r="M17" s="30" t="n">
        <v>126321</v>
      </c>
      <c r="N17" s="30" t="n">
        <v>129204</v>
      </c>
      <c r="O17" s="30" t="n">
        <v>132005</v>
      </c>
      <c r="P17" s="30" t="n">
        <v>139253</v>
      </c>
      <c r="Q17" s="30" t="n">
        <v>141635</v>
      </c>
    </row>
    <row r="18" customFormat="false" ht="15" hidden="false" customHeight="false" outlineLevel="0" collapsed="false">
      <c r="A18" s="16" t="s">
        <v>34</v>
      </c>
      <c r="B18" s="30" t="n">
        <v>844057</v>
      </c>
      <c r="C18" s="30" t="n">
        <v>807982</v>
      </c>
      <c r="D18" s="30" t="n">
        <v>837078</v>
      </c>
      <c r="E18" s="30" t="n">
        <v>861342</v>
      </c>
      <c r="F18" s="30" t="n">
        <v>951563</v>
      </c>
      <c r="G18" s="30"/>
      <c r="H18" s="30" t="n">
        <v>964928</v>
      </c>
      <c r="I18" s="30" t="n">
        <v>999359</v>
      </c>
      <c r="J18" s="30" t="n">
        <v>969999</v>
      </c>
      <c r="K18" s="30" t="n">
        <v>938446</v>
      </c>
      <c r="L18" s="30" t="n">
        <v>919046</v>
      </c>
      <c r="M18" s="30" t="n">
        <v>965916</v>
      </c>
      <c r="N18" s="30" t="n">
        <v>985419</v>
      </c>
      <c r="O18" s="30" t="n">
        <v>1009595</v>
      </c>
      <c r="P18" s="30" t="n">
        <v>1044940</v>
      </c>
      <c r="Q18" s="30" t="n">
        <v>1075106</v>
      </c>
    </row>
    <row r="19" customFormat="false" ht="15" hidden="false" customHeight="false" outlineLevel="0" collapsed="false">
      <c r="A19" s="16" t="s">
        <v>35</v>
      </c>
      <c r="B19" s="30" t="n">
        <v>78223</v>
      </c>
      <c r="C19" s="30" t="n">
        <v>79515</v>
      </c>
      <c r="D19" s="30" t="n">
        <v>83754</v>
      </c>
      <c r="E19" s="30" t="n">
        <v>79588</v>
      </c>
      <c r="F19" s="30" t="n">
        <v>62956</v>
      </c>
      <c r="G19" s="30"/>
      <c r="H19" s="30" t="n">
        <v>60471</v>
      </c>
      <c r="I19" s="30" t="n">
        <v>58374</v>
      </c>
      <c r="J19" s="30" t="n">
        <v>58004</v>
      </c>
      <c r="K19" s="30" t="n">
        <v>56932</v>
      </c>
      <c r="L19" s="30" t="n">
        <v>56553</v>
      </c>
      <c r="M19" s="30" t="n">
        <v>56437</v>
      </c>
      <c r="N19" s="30" t="n">
        <v>57447</v>
      </c>
      <c r="O19" s="30" t="n">
        <v>57125</v>
      </c>
      <c r="P19" s="30" t="n">
        <v>57346</v>
      </c>
      <c r="Q19" s="30" t="n">
        <v>57328</v>
      </c>
    </row>
    <row r="20" customFormat="false" ht="15" hidden="false" customHeight="false" outlineLevel="0" collapsed="false">
      <c r="A20" s="16" t="s">
        <v>36</v>
      </c>
      <c r="B20" s="30" t="n">
        <v>58392</v>
      </c>
      <c r="C20" s="30" t="n">
        <v>60562</v>
      </c>
      <c r="D20" s="30" t="n">
        <v>60845</v>
      </c>
      <c r="E20" s="30" t="n">
        <v>60978</v>
      </c>
      <c r="F20" s="30" t="n">
        <v>75140</v>
      </c>
      <c r="G20" s="30"/>
      <c r="H20" s="30" t="n">
        <v>75749</v>
      </c>
      <c r="I20" s="30" t="n">
        <v>78429</v>
      </c>
      <c r="J20" s="30" t="n">
        <v>79296</v>
      </c>
      <c r="K20" s="30" t="n">
        <v>83810</v>
      </c>
      <c r="L20" s="30" t="n">
        <v>85642</v>
      </c>
      <c r="M20" s="30" t="n">
        <v>90571</v>
      </c>
      <c r="N20" s="30" t="n">
        <v>89292</v>
      </c>
      <c r="O20" s="30" t="n">
        <v>92949</v>
      </c>
      <c r="P20" s="30" t="n">
        <v>180909</v>
      </c>
      <c r="Q20" s="30" t="n">
        <v>179883</v>
      </c>
    </row>
    <row r="21" customFormat="false" ht="15" hidden="false" customHeight="false" outlineLevel="0" collapsed="false">
      <c r="A21" s="16" t="s">
        <v>37</v>
      </c>
      <c r="B21" s="30" t="n">
        <v>234130</v>
      </c>
      <c r="C21" s="30" t="n">
        <v>235835</v>
      </c>
      <c r="D21" s="30" t="n">
        <v>251008</v>
      </c>
      <c r="E21" s="30" t="n">
        <v>203369</v>
      </c>
      <c r="F21" s="30" t="n">
        <v>212023</v>
      </c>
      <c r="G21" s="30"/>
      <c r="H21" s="30" t="n">
        <v>226453</v>
      </c>
      <c r="I21" s="30" t="n">
        <v>233374</v>
      </c>
      <c r="J21" s="30" t="n">
        <v>227766</v>
      </c>
      <c r="K21" s="30" t="n">
        <v>225641</v>
      </c>
      <c r="L21" s="30" t="n">
        <v>222443</v>
      </c>
      <c r="M21" s="30" t="n">
        <v>225911</v>
      </c>
      <c r="N21" s="30" t="n">
        <v>224659</v>
      </c>
      <c r="O21" s="30" t="n">
        <v>225189</v>
      </c>
      <c r="P21" s="30" t="n">
        <v>226024</v>
      </c>
      <c r="Q21" s="30" t="n">
        <v>227819</v>
      </c>
    </row>
    <row r="22" customFormat="false" ht="15" hidden="false" customHeight="false" outlineLevel="0" collapsed="false">
      <c r="A22" s="16" t="s">
        <v>38</v>
      </c>
      <c r="B22" s="30" t="n">
        <v>18837</v>
      </c>
      <c r="C22" s="30" t="n">
        <v>19029</v>
      </c>
      <c r="D22" s="30" t="n">
        <v>19557</v>
      </c>
      <c r="E22" s="30" t="n">
        <v>20350</v>
      </c>
      <c r="F22" s="30" t="n">
        <v>18622</v>
      </c>
      <c r="G22" s="30"/>
      <c r="H22" s="30" t="n">
        <v>19440</v>
      </c>
      <c r="I22" s="30" t="n">
        <v>20264</v>
      </c>
      <c r="J22" s="30" t="n">
        <v>19602</v>
      </c>
      <c r="K22" s="30" t="n">
        <v>18996</v>
      </c>
      <c r="L22" s="30" t="n">
        <v>18509</v>
      </c>
      <c r="M22" s="30" t="n">
        <v>18828</v>
      </c>
      <c r="N22" s="30" t="n">
        <v>18886</v>
      </c>
      <c r="O22" s="30" t="n">
        <v>19081</v>
      </c>
      <c r="P22" s="30" t="n">
        <v>25694</v>
      </c>
      <c r="Q22" s="30" t="n">
        <v>26237</v>
      </c>
    </row>
    <row r="23" customFormat="false" ht="15" hidden="false" customHeight="false" outlineLevel="0" collapsed="false">
      <c r="A23" s="16" t="s">
        <v>39</v>
      </c>
      <c r="B23" s="30" t="n">
        <v>167529</v>
      </c>
      <c r="C23" s="30" t="n">
        <v>164890</v>
      </c>
      <c r="D23" s="30" t="n">
        <v>166359</v>
      </c>
      <c r="E23" s="30" t="n">
        <v>199012</v>
      </c>
      <c r="F23" s="30" t="n">
        <v>215299</v>
      </c>
      <c r="G23" s="30"/>
      <c r="H23" s="30" t="n">
        <v>196109</v>
      </c>
      <c r="I23" s="30" t="n">
        <v>198215</v>
      </c>
      <c r="J23" s="30" t="n">
        <v>194097</v>
      </c>
      <c r="K23" s="30" t="n">
        <v>192496</v>
      </c>
      <c r="L23" s="30" t="n">
        <v>188702</v>
      </c>
      <c r="M23" s="30" t="n">
        <v>200990</v>
      </c>
      <c r="N23" s="30" t="n">
        <v>208368</v>
      </c>
      <c r="O23" s="30" t="n">
        <v>211165</v>
      </c>
      <c r="P23" s="30" t="n">
        <v>229426</v>
      </c>
      <c r="Q23" s="30" t="n">
        <v>237190</v>
      </c>
    </row>
    <row r="24" customFormat="false" ht="15" hidden="false" customHeight="false" outlineLevel="0" collapsed="false">
      <c r="A24" s="16" t="s">
        <v>40</v>
      </c>
      <c r="B24" s="30" t="n">
        <v>114</v>
      </c>
      <c r="C24" s="30" t="n">
        <v>119</v>
      </c>
      <c r="D24" s="30" t="n">
        <v>196</v>
      </c>
      <c r="E24" s="30" t="n">
        <v>223</v>
      </c>
      <c r="F24" s="30" t="n">
        <v>99</v>
      </c>
      <c r="G24" s="30"/>
      <c r="H24" s="30" t="n">
        <v>88</v>
      </c>
      <c r="I24" s="30" t="n">
        <v>78</v>
      </c>
      <c r="J24" s="30" t="n">
        <v>81</v>
      </c>
      <c r="K24" s="30" t="n">
        <v>76</v>
      </c>
      <c r="L24" s="30" t="n">
        <v>71</v>
      </c>
      <c r="M24" s="30" t="n">
        <v>69</v>
      </c>
      <c r="N24" s="30" t="n">
        <v>59</v>
      </c>
      <c r="O24" s="30" t="n">
        <v>68</v>
      </c>
      <c r="P24" s="30" t="n">
        <v>59</v>
      </c>
      <c r="Q24" s="30" t="n">
        <v>59</v>
      </c>
    </row>
    <row r="25" customFormat="false" ht="15" hidden="false" customHeight="false" outlineLevel="0" collapsed="false">
      <c r="A25" s="16" t="s">
        <v>41</v>
      </c>
      <c r="B25" s="30" t="n">
        <v>420</v>
      </c>
      <c r="C25" s="30" t="n">
        <v>419</v>
      </c>
      <c r="D25" s="30" t="n">
        <v>434</v>
      </c>
      <c r="E25" s="30" t="n">
        <v>438</v>
      </c>
      <c r="F25" s="30" t="n">
        <v>250</v>
      </c>
      <c r="G25" s="30"/>
      <c r="H25" s="30" t="n">
        <v>243</v>
      </c>
      <c r="I25" s="30" t="n">
        <v>232</v>
      </c>
      <c r="J25" s="30" t="n">
        <v>225</v>
      </c>
      <c r="K25" s="30" t="n">
        <v>218</v>
      </c>
      <c r="L25" s="30" t="n">
        <v>198</v>
      </c>
      <c r="M25" s="30" t="n">
        <v>209</v>
      </c>
      <c r="N25" s="30" t="n">
        <v>213</v>
      </c>
      <c r="O25" s="30" t="n">
        <v>211</v>
      </c>
      <c r="P25" s="30" t="n">
        <v>118</v>
      </c>
      <c r="Q25" s="30" t="n">
        <v>116</v>
      </c>
    </row>
    <row r="26" customFormat="false" ht="15" hidden="false" customHeight="false" outlineLevel="0" collapsed="false">
      <c r="A26" s="16" t="s">
        <v>42</v>
      </c>
      <c r="B26" s="30" t="n">
        <v>117098</v>
      </c>
      <c r="C26" s="30" t="n">
        <v>114094</v>
      </c>
      <c r="D26" s="30" t="n">
        <v>142300</v>
      </c>
      <c r="E26" s="30" t="n">
        <v>309379</v>
      </c>
      <c r="F26" s="30" t="n">
        <v>153469</v>
      </c>
      <c r="G26" s="30"/>
      <c r="H26" s="30" t="n">
        <v>217495</v>
      </c>
      <c r="I26" s="30" t="n">
        <v>279057</v>
      </c>
      <c r="J26" s="30" t="n">
        <v>338819</v>
      </c>
      <c r="K26" s="30" t="n">
        <v>890201</v>
      </c>
      <c r="L26" s="30" t="n">
        <v>886614</v>
      </c>
      <c r="M26" s="30" t="n">
        <v>964794</v>
      </c>
      <c r="N26" s="30" t="n">
        <v>1042623</v>
      </c>
      <c r="O26" s="30" t="n">
        <v>1112768</v>
      </c>
      <c r="P26" s="30" t="n">
        <v>573739</v>
      </c>
      <c r="Q26" s="30" t="n">
        <v>569869</v>
      </c>
    </row>
    <row r="27" customFormat="false" ht="15" hidden="false" customHeight="false" outlineLevel="0" collapsed="false">
      <c r="A27" s="22" t="s">
        <v>43</v>
      </c>
      <c r="B27" s="23" t="n">
        <f aca="false">IF(COUNT(B5:B26)=0,"",SUM(B5:B26))</f>
        <v>6124832</v>
      </c>
      <c r="C27" s="23" t="n">
        <f aca="false">IF(COUNT(C5:C26)=0,"",SUM(C5:C26))</f>
        <v>6023077</v>
      </c>
      <c r="D27" s="23" t="n">
        <f aca="false">IF(COUNT(D5:D26)=0,"",SUM(D5:D26))</f>
        <v>6290496</v>
      </c>
      <c r="E27" s="23" t="n">
        <f aca="false">IF(COUNT(E5:E26)=0,"",SUM(E5:E26))</f>
        <v>6722989</v>
      </c>
      <c r="F27" s="23" t="n">
        <f aca="false">IF(COUNT(F5:F26)=0,"",SUM(F5:F26))</f>
        <v>7098669</v>
      </c>
      <c r="G27" s="23" t="str">
        <f aca="false">IF(COUNT(G5:G26)=0,"",SUM(G5:G26))</f>
        <v/>
      </c>
      <c r="H27" s="23" t="n">
        <f aca="false">IF(COUNT(H5:H26)=0,"",SUM(H5:H26))</f>
        <v>7341623</v>
      </c>
      <c r="I27" s="23" t="n">
        <f aca="false">IF(COUNT(I5:I26)=0,"",SUM(I5:I26))</f>
        <v>7807847</v>
      </c>
      <c r="J27" s="23" t="n">
        <f aca="false">IF(COUNT(J5:J26)=0,"",SUM(J5:J26))</f>
        <v>7863882</v>
      </c>
      <c r="K27" s="23" t="n">
        <f aca="false">IF(COUNT(K5:K26)=0,"",SUM(K5:K26))</f>
        <v>8116191</v>
      </c>
      <c r="L27" s="23" t="n">
        <f aca="false">IF(COUNT(L5:L26)=0,"",SUM(L5:L26))</f>
        <v>8104303</v>
      </c>
      <c r="M27" s="23" t="n">
        <f aca="false">IF(COUNT(M5:M26)=0,"",SUM(M5:M26))</f>
        <v>8622747</v>
      </c>
      <c r="N27" s="23" t="n">
        <f aca="false">IF(COUNT(N5:N26)=0,"",SUM(N5:N26))</f>
        <v>8934343</v>
      </c>
      <c r="O27" s="23" t="n">
        <f aca="false">IF(COUNT(O5:O26)=0,"",SUM(O5:O26))</f>
        <v>9178419</v>
      </c>
      <c r="P27" s="23" t="n">
        <f aca="false">IF(COUNT(P5:P26)=0,"",SUM(P5:P26))</f>
        <v>9544713</v>
      </c>
      <c r="Q27" s="23" t="n">
        <f aca="false">IF(COUNT(Q5:Q26)=0,"",SUM(Q5:Q26))</f>
        <v>9882887</v>
      </c>
    </row>
    <row r="29" customFormat="false" ht="15" hidden="false" customHeight="false" outlineLevel="0" collapsed="false">
      <c r="A29" s="26" t="s">
        <v>67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0"/>
  </cols>
  <sheetData>
    <row r="1" customFormat="false" ht="19.7" hidden="false" customHeight="false" outlineLevel="0" collapsed="false">
      <c r="A1" s="1" t="s">
        <v>69</v>
      </c>
    </row>
    <row r="3" customFormat="false" ht="15" hidden="false" customHeight="false" outlineLevel="0" collapsed="false">
      <c r="A3" s="31" t="s">
        <v>70</v>
      </c>
      <c r="B3" s="32" t="s">
        <v>71</v>
      </c>
    </row>
    <row r="4" customFormat="false" ht="26.85" hidden="false" customHeight="false" outlineLevel="0" collapsed="false">
      <c r="A4" s="31" t="s">
        <v>72</v>
      </c>
      <c r="B4" s="32" t="s">
        <v>73</v>
      </c>
    </row>
    <row r="5" customFormat="false" ht="15" hidden="false" customHeight="false" outlineLevel="0" collapsed="false">
      <c r="A5" s="31"/>
      <c r="B5" s="33" t="s">
        <v>74</v>
      </c>
    </row>
    <row r="6" customFormat="false" ht="15" hidden="false" customHeight="false" outlineLevel="0" collapsed="false">
      <c r="A6" s="31"/>
      <c r="B6" s="33" t="s">
        <v>75</v>
      </c>
    </row>
    <row r="7" customFormat="false" ht="26.85" hidden="false" customHeight="false" outlineLevel="0" collapsed="false">
      <c r="A7" s="31" t="s">
        <v>76</v>
      </c>
      <c r="B7" s="32" t="s">
        <v>77</v>
      </c>
    </row>
    <row r="8" customFormat="false" ht="26.85" hidden="false" customHeight="false" outlineLevel="0" collapsed="false">
      <c r="A8" s="31" t="s">
        <v>78</v>
      </c>
      <c r="B8" s="32" t="s">
        <v>79</v>
      </c>
    </row>
    <row r="9" customFormat="false" ht="26.85" hidden="false" customHeight="false" outlineLevel="0" collapsed="false">
      <c r="A9" s="31" t="s">
        <v>80</v>
      </c>
      <c r="B9" s="32" t="s">
        <v>81</v>
      </c>
    </row>
    <row r="10" customFormat="false" ht="15" hidden="false" customHeight="false" outlineLevel="0" collapsed="false">
      <c r="A10" s="31" t="s">
        <v>82</v>
      </c>
      <c r="B10" s="32" t="s">
        <v>83</v>
      </c>
    </row>
    <row r="11" customFormat="false" ht="26.85" hidden="false" customHeight="false" outlineLevel="0" collapsed="false">
      <c r="A11" s="31" t="s">
        <v>84</v>
      </c>
      <c r="B11" s="32" t="s">
        <v>85</v>
      </c>
    </row>
  </sheetData>
  <hyperlinks>
    <hyperlink ref="B5" r:id="rId1" display="https://gulfmigration.grc.net/saudi-arabia-saudi-employed-population-by-main-group-of-economic-activities-q1-2021-q1-2025-2/"/>
    <hyperlink ref="B6" r:id="rId2" display="https://gulfmigration.grc.net/saudi-arabia-non-saudi-employed-population-by-main-group-of-economic-activities-q1-2021-q3-2025/"/>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2026-10-23T20:12:30Z</dcterms:created>
  <dc:creator>openpyxl</dc:creator>
  <dc:description/>
  <dc:language>en-US</dc:language>
  <cp:lastModifiedBy/>
  <dcterms:modified xsi:type="dcterms:W3CDTF">2026-10-23T23:12:33Z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